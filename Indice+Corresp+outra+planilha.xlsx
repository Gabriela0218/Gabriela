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7" documentId="8_{B967A4FC-C36C-4F1B-85F3-1CDE95CA8535}" xr6:coauthVersionLast="47" xr6:coauthVersionMax="47" xr10:uidLastSave="{554E7C08-A957-4F73-BA45-C6F4E7E741AC}"/>
  <bookViews>
    <workbookView xWindow="-120" yWindow="-120" windowWidth="20730" windowHeight="11310" activeTab="1" xr2:uid="{1D135085-162F-4F6A-83EE-95534B59CC74}"/>
  </bookViews>
  <sheets>
    <sheet name="Professor" sheetId="1" r:id="rId1"/>
    <sheet name="Aluno" sheetId="3" r:id="rId2"/>
    <sheet name="Dad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 a="1"/>
  <c r="F8" i="3" s="1"/>
  <c r="F9" i="3" a="1"/>
  <c r="F9" i="3"/>
  <c r="F10" i="3" a="1"/>
  <c r="F10" i="3" s="1"/>
  <c r="F7" i="3" a="1"/>
  <c r="F7" i="3" s="1"/>
  <c r="E8" i="3" a="1"/>
  <c r="E8" i="3" s="1"/>
  <c r="E9" i="3" a="1"/>
  <c r="E9" i="3" s="1"/>
  <c r="E10" i="3" a="1"/>
  <c r="E10" i="3" s="1"/>
  <c r="E7" i="3" a="1"/>
  <c r="E7" i="3" s="1"/>
  <c r="F8" i="1" a="1"/>
  <c r="F8" i="1" s="1"/>
  <c r="F9" i="1" a="1"/>
  <c r="F9" i="1"/>
  <c r="F10" i="1" a="1"/>
  <c r="F10" i="1" s="1"/>
  <c r="F7" i="1" a="1"/>
  <c r="F7" i="1" s="1"/>
  <c r="E8" i="1" a="1"/>
  <c r="E8" i="1" s="1"/>
  <c r="E9" i="1" a="1"/>
  <c r="E9" i="1" s="1"/>
  <c r="E10" i="1" a="1"/>
  <c r="E10" i="1" s="1"/>
  <c r="E7" i="1" a="1"/>
  <c r="E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<sst xmlns="http://schemas.openxmlformats.org/spreadsheetml/2006/main" count="95" uniqueCount="29">
  <si>
    <t>Cliente</t>
  </si>
  <si>
    <t>Produto</t>
  </si>
  <si>
    <t>Valor</t>
  </si>
  <si>
    <t>Ana</t>
  </si>
  <si>
    <t>Tênis Feminino</t>
  </si>
  <si>
    <t>Calça Feminina Jogger</t>
  </si>
  <si>
    <t>Camisa Masculina Festa Balada</t>
  </si>
  <si>
    <t>Jaqueta Masculina Preta</t>
  </si>
  <si>
    <t>Bolsa de Trabalho</t>
  </si>
  <si>
    <t>Vestido Infantil</t>
  </si>
  <si>
    <t>Sapatilha Sapato</t>
  </si>
  <si>
    <t>Colar Pingente</t>
  </si>
  <si>
    <t>Iasmin</t>
  </si>
  <si>
    <t>Bermuda Masculino</t>
  </si>
  <si>
    <t>Kit de Pinceis de Maquiagem</t>
  </si>
  <si>
    <t>Camisa Térmica</t>
  </si>
  <si>
    <t>Pedro</t>
  </si>
  <si>
    <t>Camisa Masculina</t>
  </si>
  <si>
    <t>Bota Masculina</t>
  </si>
  <si>
    <t>Sapato Social</t>
  </si>
  <si>
    <t>ÍNDICE CORRESP três condições</t>
  </si>
  <si>
    <t>Sexo</t>
  </si>
  <si>
    <t>Feminino</t>
  </si>
  <si>
    <t>Masculino</t>
  </si>
  <si>
    <t>Exemplo 1</t>
  </si>
  <si>
    <t>Exemplo 2</t>
  </si>
  <si>
    <t>Fórmula em Inglês</t>
  </si>
  <si>
    <t>=INDEX(Dados!A:D;MATCH(Professor!B7&amp;Professor!C7&amp;Professor!D7;Dados!B:B&amp;Dados!C:C&amp;Dados!D:D;0);1)</t>
  </si>
  <si>
    <t>=INDEX(Dados!$A$2:$D$16;MATCH(Professor!B7&amp;Professor!C7&amp;Professor!D7;Dados!$B$2:$B$16&amp;Dados!$C$2:$C$16&amp;Dados!$D$2:$D$16;0);1)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</si>
</sst>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1" xfId="0" applyFill="1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4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B2:J10"/>
  <sheetViews>
    <sheetView zoomScaleNormal="100" workbookViewId="0">
      <selection activeCell="B6" sqref="B6"/>
    </sheetView>
  </sheetViews>
  <sheetFormatPr defaultRowHeight="15" x14ac:dyDescent="0.25"/>
  <cols>
    <col min="1" max="1" width="4.85546875" customWidth="1"/>
    <col min="2" max="2" width="16.5703125" customWidth="1"/>
    <col min="3" max="3" width="16.42578125" customWidth="1"/>
    <col min="4" max="4" width="23.85546875" style="1" customWidth="1"/>
    <col min="5" max="5" width="12.5703125" customWidth="1"/>
    <col min="6" max="6" width="9.42578125" bestFit="1" customWidth="1"/>
    <col min="9" max="9" width="12.42578125" customWidth="1"/>
  </cols>
  <sheetData>
    <row r="2" spans="2:10" ht="15.75" x14ac:dyDescent="0.25">
      <c r="B2" s="2" t="s">
        <v>20</v>
      </c>
      <c r="J2" t="s">
        <v>26</v>
      </c>
    </row>
    <row r="3" spans="2:10" x14ac:dyDescent="0.25">
      <c r="I3" s="11" t="s">
        <v>24</v>
      </c>
      <c r="J3" s="12" t="s">
        <v>27</v>
      </c>
    </row>
    <row r="4" spans="2:10" x14ac:dyDescent="0.25">
      <c r="I4" s="11" t="s">
        <v>25</v>
      </c>
      <c r="J4" s="12" t="s">
        <v>28</v>
      </c>
    </row>
    <row r="6" spans="2:10" x14ac:dyDescent="0.25">
      <c r="B6" s="3" t="s">
        <v>0</v>
      </c>
      <c r="C6" s="7" t="s">
        <v>21</v>
      </c>
      <c r="D6" s="3" t="s">
        <v>1</v>
      </c>
      <c r="E6" s="5" t="s">
        <v>24</v>
      </c>
      <c r="F6" s="5" t="s">
        <v>25</v>
      </c>
    </row>
    <row r="7" spans="2:10" x14ac:dyDescent="0.25">
      <c r="B7" s="4" t="s">
        <v>3</v>
      </c>
      <c r="C7" s="8" t="s">
        <v>22</v>
      </c>
      <c r="D7" s="4" t="s">
        <v>4</v>
      </c>
      <c r="E7" s="6">
        <f t="array" ref="E7">INDEX(Dados!A:D,MATCH(Professor!B7&amp;Professor!C7&amp;Professor!D7,Dados!B:B&amp;Dados!C:C&amp;Dados!D:D,0),1)</f>
        <v>89.99</v>
      </c>
      <c r="F7" s="6">
        <f t="array" ref="F7">INDEX(Dados!$A$2:$D$16,MATCH(Professor!B7&amp;Professor!C7&amp;Professor!D7,Dados!$B$2:$B$16&amp;Dados!$C$2:$C$16&amp;Dados!$D$2:$D$16,0),1)</f>
        <v>89.99</v>
      </c>
    </row>
    <row r="8" spans="2:10" x14ac:dyDescent="0.25">
      <c r="B8" t="s">
        <v>12</v>
      </c>
      <c r="C8" s="8" t="s">
        <v>22</v>
      </c>
      <c r="D8" t="s">
        <v>13</v>
      </c>
      <c r="E8" s="6">
        <f t="array" ref="E8">INDEX(Dados!A:D,MATCH(Professor!B8&amp;Professor!C8&amp;Professor!D8,Dados!B:B&amp;Dados!C:C&amp;Dados!D:D,0),1)</f>
        <v>148.56</v>
      </c>
      <c r="F8" s="6">
        <f t="array" ref="F8">INDEX(Dados!$A$2:$D$16,MATCH(Professor!B8&amp;Professor!C8&amp;Professor!D8,Dados!$B$2:$B$16&amp;Dados!$C$2:$C$16&amp;Dados!$D$2:$D$16,0),1)</f>
        <v>148.56</v>
      </c>
    </row>
    <row r="9" spans="2:10" x14ac:dyDescent="0.25">
      <c r="B9" t="s">
        <v>16</v>
      </c>
      <c r="C9" s="8" t="s">
        <v>23</v>
      </c>
      <c r="D9" t="s">
        <v>17</v>
      </c>
      <c r="E9" s="6">
        <f t="array" ref="E9">INDEX(Dados!A:D,MATCH(Professor!B9&amp;Professor!C9&amp;Professor!D9,Dados!B:B&amp;Dados!C:C&amp;Dados!D:D,0),1)</f>
        <v>46.9</v>
      </c>
      <c r="F9" s="6">
        <f t="array" ref="F9">INDEX(Dados!$A$2:$D$16,MATCH(Professor!B9&amp;Professor!C9&amp;Professor!D9,Dados!$B$2:$B$16&amp;Dados!$C$2:$C$16&amp;Dados!$D$2:$D$16,0),1)</f>
        <v>46.9</v>
      </c>
    </row>
    <row r="10" spans="2:10" x14ac:dyDescent="0.25">
      <c r="B10" t="s">
        <v>3</v>
      </c>
      <c r="C10" s="8" t="s">
        <v>22</v>
      </c>
      <c r="D10" t="s">
        <v>5</v>
      </c>
      <c r="E10" s="6">
        <f t="array" ref="E10">INDEX(Dados!A:D,MATCH(Professor!B10&amp;Professor!C10&amp;Professor!D10,Dados!B:B&amp;Dados!C:C&amp;Dados!D:D,0),1)</f>
        <v>69.989999999999995</v>
      </c>
      <c r="F10" s="6">
        <f t="array" ref="F10">INDEX(Dados!$A$2:$D$16,MATCH(Professor!B10&amp;Professor!C10&amp;Professor!D10,Dados!$B$2:$B$16&amp;Dados!$C$2:$C$16&amp;Dados!$D$2:$D$16,0),1)</f>
        <v>69.989999999999995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B2:J10"/>
  <sheetViews>
    <sheetView tabSelected="1" workbookViewId="0">
      <selection activeCell="G7" sqref="G7"/>
    </sheetView>
  </sheetViews>
  <sheetFormatPr defaultRowHeight="15" x14ac:dyDescent="0.25"/>
  <cols>
    <col min="1" max="1" width="4.85546875" customWidth="1"/>
    <col min="2" max="2" width="16.5703125" customWidth="1"/>
    <col min="3" max="3" width="16.42578125" customWidth="1"/>
    <col min="4" max="4" width="23.85546875" style="1" customWidth="1"/>
    <col min="5" max="5" width="12.5703125" customWidth="1"/>
    <col min="6" max="6" width="9.42578125" bestFit="1" customWidth="1"/>
    <col min="9" max="9" width="12.42578125" customWidth="1"/>
  </cols>
  <sheetData>
    <row r="2" spans="2:10" ht="15.75" x14ac:dyDescent="0.25">
      <c r="B2" s="2" t="s">
        <v>20</v>
      </c>
      <c r="J2" t="s">
        <v>26</v>
      </c>
    </row>
    <row r="3" spans="2:10" x14ac:dyDescent="0.25">
      <c r="I3" s="11" t="s">
        <v>24</v>
      </c>
      <c r="J3" s="12" t="s">
        <v>27</v>
      </c>
    </row>
    <row r="4" spans="2:10" x14ac:dyDescent="0.25">
      <c r="I4" s="11" t="s">
        <v>25</v>
      </c>
      <c r="J4" s="12" t="s">
        <v>28</v>
      </c>
    </row>
    <row r="6" spans="2:10" x14ac:dyDescent="0.25">
      <c r="B6" s="3" t="s">
        <v>0</v>
      </c>
      <c r="C6" s="7" t="s">
        <v>21</v>
      </c>
      <c r="D6" s="3" t="s">
        <v>1</v>
      </c>
      <c r="E6" s="5" t="s">
        <v>24</v>
      </c>
      <c r="F6" s="5" t="s">
        <v>25</v>
      </c>
    </row>
    <row r="7" spans="2:10" x14ac:dyDescent="0.25">
      <c r="B7" s="4" t="s">
        <v>3</v>
      </c>
      <c r="C7" s="8" t="s">
        <v>22</v>
      </c>
      <c r="D7" s="4" t="s">
        <v>4</v>
      </c>
      <c r="E7" s="6" cm="1">
        <f t="array" ref="E7">INDEX(Dados!A:D,MATCH(Aluno!B7&amp;Aluno!C7&amp;Aluno!D7,Dados!B:B&amp;Dados!C:C&amp;Dados!D:D,0),1)</f>
        <v>89.99</v>
      </c>
      <c r="F7" s="6" cm="1">
        <f t="array" ref="F7">INDEX(Dados!$A$2:$D$16,MATCH(Aluno!B7&amp;Aluno!C7&amp;Aluno!D7,Dados!$B$2:$B$16&amp;Dados!$C$2:$C$16&amp;Dados!$D$2:$D$16,0),1)</f>
        <v>89.99</v>
      </c>
    </row>
    <row r="8" spans="2:10" x14ac:dyDescent="0.25">
      <c r="B8" t="s">
        <v>12</v>
      </c>
      <c r="C8" s="8" t="s">
        <v>22</v>
      </c>
      <c r="D8" t="s">
        <v>13</v>
      </c>
      <c r="E8" s="6" cm="1">
        <f t="array" ref="E8">INDEX(Dados!A:D,MATCH(Aluno!B8&amp;Aluno!C8&amp;Aluno!D8,Dados!B:B&amp;Dados!C:C&amp;Dados!D:D,0),1)</f>
        <v>148.56</v>
      </c>
      <c r="F8" s="6" cm="1">
        <f t="array" ref="F8">INDEX(Dados!$A$2:$D$16,MATCH(Aluno!B8&amp;Aluno!C8&amp;Aluno!D8,Dados!$B$2:$B$16&amp;Dados!$C$2:$C$16&amp;Dados!$D$2:$D$16,0),1)</f>
        <v>148.56</v>
      </c>
    </row>
    <row r="9" spans="2:10" x14ac:dyDescent="0.25">
      <c r="B9" t="s">
        <v>16</v>
      </c>
      <c r="C9" s="8" t="s">
        <v>23</v>
      </c>
      <c r="D9" t="s">
        <v>17</v>
      </c>
      <c r="E9" s="6" cm="1">
        <f t="array" ref="E9">INDEX(Dados!A:D,MATCH(Aluno!B9&amp;Aluno!C9&amp;Aluno!D9,Dados!B:B&amp;Dados!C:C&amp;Dados!D:D,0),1)</f>
        <v>46.9</v>
      </c>
      <c r="F9" s="6" cm="1">
        <f t="array" ref="F9">INDEX(Dados!$A$2:$D$16,MATCH(Aluno!B9&amp;Aluno!C9&amp;Aluno!D9,Dados!$B$2:$B$16&amp;Dados!$C$2:$C$16&amp;Dados!$D$2:$D$16,0),1)</f>
        <v>46.9</v>
      </c>
    </row>
    <row r="10" spans="2:10" x14ac:dyDescent="0.25">
      <c r="B10" t="s">
        <v>3</v>
      </c>
      <c r="C10" s="8" t="s">
        <v>22</v>
      </c>
      <c r="D10" t="s">
        <v>5</v>
      </c>
      <c r="E10" s="6" cm="1">
        <f t="array" ref="E10">INDEX(Dados!A:D,MATCH(Aluno!B10&amp;Aluno!C10&amp;Aluno!D10,Dados!B:B&amp;Dados!C:C&amp;Dados!D:D,0),1)</f>
        <v>69.989999999999995</v>
      </c>
      <c r="F10" s="6" cm="1">
        <f t="array" ref="F10">INDEX(Dados!$A$2:$D$16,MATCH(Aluno!B10&amp;Aluno!C10&amp;Aluno!D10,Dados!$B$2:$B$16&amp;Dados!$C$2:$C$16&amp;Dados!$D$2:$D$16,0),1)</f>
        <v>69.989999999999995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EF21-0E37-4BCC-AE69-02899007F085}">
  <dimension ref="A1:D16"/>
  <sheetViews>
    <sheetView workbookViewId="0">
      <selection activeCell="A12" sqref="A12"/>
    </sheetView>
  </sheetViews>
  <sheetFormatPr defaultRowHeight="15" x14ac:dyDescent="0.25"/>
  <cols>
    <col min="1" max="1" width="15.140625" customWidth="1"/>
    <col min="2" max="2" width="11.7109375" customWidth="1"/>
    <col min="3" max="3" width="14.5703125" customWidth="1"/>
    <col min="4" max="4" width="21.5703125" customWidth="1"/>
  </cols>
  <sheetData>
    <row r="1" spans="1:4" x14ac:dyDescent="0.25">
      <c r="A1" s="10" t="s">
        <v>2</v>
      </c>
      <c r="B1" s="7" t="s">
        <v>0</v>
      </c>
      <c r="C1" s="7" t="s">
        <v>21</v>
      </c>
      <c r="D1" s="7" t="s">
        <v>1</v>
      </c>
    </row>
    <row r="2" spans="1:4" x14ac:dyDescent="0.25">
      <c r="A2" s="9">
        <v>89.99</v>
      </c>
      <c r="B2" s="8" t="s">
        <v>3</v>
      </c>
      <c r="C2" s="8" t="s">
        <v>22</v>
      </c>
      <c r="D2" s="8" t="s">
        <v>4</v>
      </c>
    </row>
    <row r="3" spans="1:4" x14ac:dyDescent="0.25">
      <c r="A3" s="9">
        <v>69.989999999999995</v>
      </c>
      <c r="B3" s="8" t="s">
        <v>3</v>
      </c>
      <c r="C3" s="8" t="s">
        <v>22</v>
      </c>
      <c r="D3" s="8" t="s">
        <v>5</v>
      </c>
    </row>
    <row r="4" spans="1:4" x14ac:dyDescent="0.25">
      <c r="A4" s="9">
        <v>153.4</v>
      </c>
      <c r="B4" s="8" t="s">
        <v>16</v>
      </c>
      <c r="C4" s="8" t="s">
        <v>23</v>
      </c>
      <c r="D4" s="8" t="s">
        <v>19</v>
      </c>
    </row>
    <row r="5" spans="1:4" x14ac:dyDescent="0.25">
      <c r="A5" s="9">
        <v>148.56</v>
      </c>
      <c r="B5" s="8" t="s">
        <v>12</v>
      </c>
      <c r="C5" s="8" t="s">
        <v>22</v>
      </c>
      <c r="D5" s="8" t="s">
        <v>13</v>
      </c>
    </row>
    <row r="6" spans="1:4" x14ac:dyDescent="0.25">
      <c r="A6" s="9">
        <v>146.13999999999999</v>
      </c>
      <c r="B6" s="8" t="s">
        <v>3</v>
      </c>
      <c r="C6" s="8" t="s">
        <v>22</v>
      </c>
      <c r="D6" s="8" t="s">
        <v>6</v>
      </c>
    </row>
    <row r="7" spans="1:4" x14ac:dyDescent="0.25">
      <c r="A7" s="9">
        <v>224.14</v>
      </c>
      <c r="B7" s="8" t="s">
        <v>12</v>
      </c>
      <c r="C7" s="8" t="s">
        <v>22</v>
      </c>
      <c r="D7" s="8" t="s">
        <v>18</v>
      </c>
    </row>
    <row r="8" spans="1:4" x14ac:dyDescent="0.25">
      <c r="A8" s="9">
        <v>150.5</v>
      </c>
      <c r="B8" s="8" t="s">
        <v>16</v>
      </c>
      <c r="C8" s="8" t="s">
        <v>23</v>
      </c>
      <c r="D8" s="8" t="s">
        <v>7</v>
      </c>
    </row>
    <row r="9" spans="1:4" x14ac:dyDescent="0.25">
      <c r="A9" s="9">
        <v>248.73</v>
      </c>
      <c r="B9" s="8" t="s">
        <v>3</v>
      </c>
      <c r="C9" s="8" t="s">
        <v>22</v>
      </c>
      <c r="D9" s="8" t="s">
        <v>8</v>
      </c>
    </row>
    <row r="10" spans="1:4" x14ac:dyDescent="0.25">
      <c r="A10" s="9">
        <v>116.52</v>
      </c>
      <c r="B10" s="8" t="s">
        <v>3</v>
      </c>
      <c r="C10" s="8" t="s">
        <v>22</v>
      </c>
      <c r="D10" s="8" t="s">
        <v>14</v>
      </c>
    </row>
    <row r="11" spans="1:4" x14ac:dyDescent="0.25">
      <c r="A11" s="9">
        <v>59.9</v>
      </c>
      <c r="B11" s="8" t="s">
        <v>12</v>
      </c>
      <c r="C11" s="8" t="s">
        <v>22</v>
      </c>
      <c r="D11" s="8" t="s">
        <v>9</v>
      </c>
    </row>
    <row r="12" spans="1:4" x14ac:dyDescent="0.25">
      <c r="A12" s="9">
        <v>46.9</v>
      </c>
      <c r="B12" s="8" t="s">
        <v>16</v>
      </c>
      <c r="C12" s="8" t="s">
        <v>23</v>
      </c>
      <c r="D12" s="8" t="s">
        <v>17</v>
      </c>
    </row>
    <row r="13" spans="1:4" x14ac:dyDescent="0.25">
      <c r="A13" s="9">
        <v>41.9</v>
      </c>
      <c r="B13" s="8" t="s">
        <v>3</v>
      </c>
      <c r="C13" s="8" t="s">
        <v>22</v>
      </c>
      <c r="D13" s="8" t="s">
        <v>15</v>
      </c>
    </row>
    <row r="14" spans="1:4" x14ac:dyDescent="0.25">
      <c r="A14" s="9">
        <v>81.900000000000006</v>
      </c>
      <c r="B14" s="8" t="s">
        <v>3</v>
      </c>
      <c r="C14" s="8" t="s">
        <v>22</v>
      </c>
      <c r="D14" s="8" t="s">
        <v>19</v>
      </c>
    </row>
    <row r="15" spans="1:4" x14ac:dyDescent="0.25">
      <c r="A15" s="9">
        <v>55.9</v>
      </c>
      <c r="B15" s="8" t="s">
        <v>12</v>
      </c>
      <c r="C15" s="8" t="s">
        <v>22</v>
      </c>
      <c r="D15" s="8" t="s">
        <v>10</v>
      </c>
    </row>
    <row r="16" spans="1:4" x14ac:dyDescent="0.25">
      <c r="A16" s="9">
        <v>89.9</v>
      </c>
      <c r="B16" s="8" t="s">
        <v>16</v>
      </c>
      <c r="C16" s="8" t="s">
        <v>23</v>
      </c>
      <c r="D16" s="8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Professor</vt:lpstr>
      <vt:lpstr>Aluno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2021-06-10T15:59:35Z</dcterms:created>
  <dcterms:modified xsi:type="dcterms:W3CDTF">2026-01-06T15:16:04Z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