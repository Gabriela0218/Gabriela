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"/>
    </mc:Choice>
  </mc:AlternateContent>
  <xr:revisionPtr revIDLastSave="57" documentId="8_{59213BE3-312F-40AA-B3FC-EF15B45989C0}" xr6:coauthVersionLast="47" xr6:coauthVersionMax="47" xr10:uidLastSave="{860862DC-6DBE-4F69-9F91-F290C140654C}"/>
  <bookViews>
    <workbookView xWindow="-120" yWindow="-120" windowWidth="20730" windowHeight="11310" tabRatio="859" firstSheet="5" activeTab="10" xr2:uid="{2E65B82F-5866-47B8-BB74-66991D6C79DA}"/>
  </bookViews>
  <sheets>
    <sheet name="Professor Exemplo 1" sheetId="1" r:id="rId1"/>
    <sheet name="Professor Exemplo 2" sheetId="17" r:id="rId2"/>
    <sheet name="Professor Exemplo 3" sheetId="18" r:id="rId3"/>
    <sheet name="Dados" sheetId="21" state="hidden" r:id="rId4"/>
    <sheet name="Professor Exemplo 4" sheetId="19" r:id="rId5"/>
    <sheet name="Professor Exemplo 5" sheetId="20" r:id="rId6"/>
    <sheet name="Aluno Exemplo 1" sheetId="22" r:id="rId7"/>
    <sheet name="Aluno Exemplo 2" sheetId="23" r:id="rId8"/>
    <sheet name="Aluno Exemplo 3" sheetId="24" r:id="rId9"/>
    <sheet name="Aluno Exemplo 4" sheetId="25" r:id="rId10"/>
    <sheet name="Aluno Exemplo 5" sheetId="26" r:id="rId11"/>
  </sheets>
  <definedNames>
    <definedName name="_xlnm._FilterDatabase" localSheetId="2" hidden="1">'Professor Exemplo 3'!$A$8:$D$45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6" l="1"/>
  <c r="E23" i="26"/>
  <c r="E22" i="26"/>
  <c r="E21" i="26"/>
  <c r="E20" i="26"/>
  <c r="E19" i="26"/>
  <c r="F14" i="26"/>
  <c r="F13" i="26"/>
  <c r="F12" i="26"/>
  <c r="F11" i="26"/>
  <c r="F10" i="26"/>
  <c r="F9" i="26"/>
  <c r="E14" i="26"/>
  <c r="E13" i="26"/>
  <c r="E12" i="26"/>
  <c r="E11" i="26"/>
  <c r="E10" i="26"/>
  <c r="E9" i="26"/>
  <c r="F51" i="25"/>
  <c r="E51" i="25"/>
  <c r="F50" i="25"/>
  <c r="E50" i="25"/>
  <c r="F49" i="25"/>
  <c r="E49" i="25"/>
  <c r="F48" i="25"/>
  <c r="E48" i="25"/>
  <c r="F47" i="25"/>
  <c r="E47" i="25"/>
  <c r="F46" i="25"/>
  <c r="E46" i="25"/>
  <c r="F45" i="25"/>
  <c r="E45" i="25"/>
  <c r="F44" i="25"/>
  <c r="E44" i="25"/>
  <c r="F43" i="25"/>
  <c r="E43" i="25"/>
  <c r="F42" i="25"/>
  <c r="E42" i="25"/>
  <c r="F41" i="25"/>
  <c r="E41" i="25"/>
  <c r="F40" i="25"/>
  <c r="E40" i="25"/>
  <c r="F39" i="25"/>
  <c r="E39" i="25"/>
  <c r="F38" i="25"/>
  <c r="E38" i="25"/>
  <c r="F37" i="25"/>
  <c r="E37" i="25"/>
  <c r="F36" i="25"/>
  <c r="E36" i="25"/>
  <c r="F35" i="25"/>
  <c r="E35" i="25"/>
  <c r="F34" i="25"/>
  <c r="E34" i="25"/>
  <c r="F33" i="25"/>
  <c r="E33" i="25"/>
  <c r="F32" i="25"/>
  <c r="E32" i="25"/>
  <c r="F31" i="25"/>
  <c r="E31" i="25"/>
  <c r="F30" i="25"/>
  <c r="E30" i="25"/>
  <c r="F29" i="25"/>
  <c r="E29" i="25"/>
  <c r="F28" i="25"/>
  <c r="E28" i="25"/>
  <c r="F27" i="25"/>
  <c r="E27" i="25"/>
  <c r="F26" i="25"/>
  <c r="E26" i="25"/>
  <c r="F25" i="25"/>
  <c r="E25" i="25"/>
  <c r="F24" i="25"/>
  <c r="E24" i="25"/>
  <c r="F23" i="25"/>
  <c r="E23" i="25"/>
  <c r="F22" i="25"/>
  <c r="E22" i="25"/>
  <c r="F21" i="25"/>
  <c r="E21" i="25"/>
  <c r="F20" i="25"/>
  <c r="E20" i="25"/>
  <c r="F19" i="25"/>
  <c r="E19" i="25"/>
  <c r="F18" i="25"/>
  <c r="E18" i="25"/>
  <c r="F17" i="25"/>
  <c r="E17" i="25"/>
  <c r="F16" i="25"/>
  <c r="E16" i="25"/>
  <c r="F15" i="25"/>
  <c r="E15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I12" i="24"/>
  <c r="I13" i="24"/>
  <c r="I16" i="24"/>
  <c r="I17" i="24"/>
  <c r="H12" i="24"/>
  <c r="H16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9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G17" i="24"/>
  <c r="H17" i="24" s="1"/>
  <c r="G16" i="24"/>
  <c r="G15" i="24"/>
  <c r="I15" i="24" s="1"/>
  <c r="G14" i="24"/>
  <c r="I14" i="24" s="1"/>
  <c r="G13" i="24"/>
  <c r="H13" i="24" s="1"/>
  <c r="G12" i="24"/>
  <c r="G11" i="24"/>
  <c r="H11" i="24" s="1"/>
  <c r="G10" i="24"/>
  <c r="I10" i="24" s="1"/>
  <c r="G9" i="24"/>
  <c r="I9" i="24" s="1"/>
  <c r="G7" i="23"/>
  <c r="G8" i="23"/>
  <c r="G9" i="23"/>
  <c r="G10" i="23"/>
  <c r="G11" i="23"/>
  <c r="G12" i="23"/>
  <c r="G13" i="23"/>
  <c r="G14" i="23"/>
  <c r="G15" i="23"/>
  <c r="G16" i="23"/>
  <c r="G17" i="23"/>
  <c r="G6" i="23"/>
  <c r="F7" i="23"/>
  <c r="F8" i="23"/>
  <c r="F9" i="23"/>
  <c r="F10" i="23"/>
  <c r="F11" i="23"/>
  <c r="F12" i="23"/>
  <c r="F13" i="23"/>
  <c r="F14" i="23"/>
  <c r="F15" i="23"/>
  <c r="F16" i="23"/>
  <c r="F17" i="23"/>
  <c r="F6" i="23"/>
  <c r="H10" i="22"/>
  <c r="H11" i="22"/>
  <c r="H12" i="22"/>
  <c r="H13" i="22"/>
  <c r="H14" i="22"/>
  <c r="H15" i="22"/>
  <c r="H16" i="22"/>
  <c r="H17" i="22"/>
  <c r="H18" i="22"/>
  <c r="H19" i="22"/>
  <c r="H20" i="22"/>
  <c r="H9" i="22"/>
  <c r="G10" i="22"/>
  <c r="G11" i="22"/>
  <c r="G12" i="22"/>
  <c r="G13" i="22"/>
  <c r="G14" i="22"/>
  <c r="G15" i="22"/>
  <c r="G16" i="22"/>
  <c r="G17" i="22"/>
  <c r="G18" i="22"/>
  <c r="G19" i="22"/>
  <c r="G20" i="22"/>
  <c r="G9" i="22"/>
  <c r="E19" i="20"/>
  <c r="F9" i="20"/>
  <c r="F8" i="17"/>
  <c r="G11" i="1"/>
  <c r="G10" i="1"/>
  <c r="E15" i="19"/>
  <c r="E21" i="20"/>
  <c r="E20" i="20"/>
  <c r="E24" i="20"/>
  <c r="E23" i="20"/>
  <c r="E22" i="20"/>
  <c r="E14" i="20"/>
  <c r="E13" i="20"/>
  <c r="E12" i="20"/>
  <c r="E11" i="20"/>
  <c r="E10" i="20"/>
  <c r="F10" i="20"/>
  <c r="F14" i="20"/>
  <c r="F13" i="20"/>
  <c r="F12" i="20"/>
  <c r="F11" i="20"/>
  <c r="E9" i="20"/>
  <c r="F23" i="19"/>
  <c r="E23" i="19"/>
  <c r="F22" i="19"/>
  <c r="E22" i="19"/>
  <c r="F21" i="19"/>
  <c r="E21" i="19"/>
  <c r="F20" i="19"/>
  <c r="E20" i="19"/>
  <c r="F19" i="19"/>
  <c r="E19" i="19"/>
  <c r="F18" i="19"/>
  <c r="E18" i="19"/>
  <c r="F17" i="19"/>
  <c r="E17" i="19"/>
  <c r="F16" i="19"/>
  <c r="E16" i="19"/>
  <c r="F15" i="19"/>
  <c r="A15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D19" i="18"/>
  <c r="A19" i="18" s="1"/>
  <c r="D15" i="18"/>
  <c r="A15" i="18" s="1"/>
  <c r="D12" i="18"/>
  <c r="A12" i="18" s="1"/>
  <c r="D11" i="18"/>
  <c r="A11" i="18" s="1"/>
  <c r="D10" i="18"/>
  <c r="A10" i="18" s="1"/>
  <c r="D9" i="18"/>
  <c r="A9" i="18" s="1"/>
  <c r="D45" i="18"/>
  <c r="A45" i="18" s="1"/>
  <c r="D44" i="18"/>
  <c r="A44" i="18" s="1"/>
  <c r="D43" i="18"/>
  <c r="A43" i="18" s="1"/>
  <c r="D42" i="18"/>
  <c r="A42" i="18" s="1"/>
  <c r="D41" i="18"/>
  <c r="A41" i="18" s="1"/>
  <c r="D40" i="18"/>
  <c r="A40" i="18" s="1"/>
  <c r="D39" i="18"/>
  <c r="A39" i="18" s="1"/>
  <c r="D38" i="18"/>
  <c r="A38" i="18" s="1"/>
  <c r="D37" i="18"/>
  <c r="A37" i="18" s="1"/>
  <c r="D36" i="18"/>
  <c r="A36" i="18" s="1"/>
  <c r="D35" i="18"/>
  <c r="A35" i="18" s="1"/>
  <c r="D34" i="18"/>
  <c r="A34" i="18" s="1"/>
  <c r="D33" i="18"/>
  <c r="A33" i="18" s="1"/>
  <c r="D32" i="18"/>
  <c r="A32" i="18" s="1"/>
  <c r="D31" i="18"/>
  <c r="A31" i="18" s="1"/>
  <c r="D30" i="18"/>
  <c r="A30" i="18" s="1"/>
  <c r="D29" i="18"/>
  <c r="A29" i="18" s="1"/>
  <c r="D28" i="18"/>
  <c r="A28" i="18" s="1"/>
  <c r="D27" i="18"/>
  <c r="A27" i="18" s="1"/>
  <c r="D26" i="18"/>
  <c r="A26" i="18" s="1"/>
  <c r="D25" i="18"/>
  <c r="A25" i="18" s="1"/>
  <c r="D24" i="18"/>
  <c r="A24" i="18" s="1"/>
  <c r="D23" i="18"/>
  <c r="A23" i="18" s="1"/>
  <c r="D22" i="18"/>
  <c r="A22" i="18" s="1"/>
  <c r="D21" i="18"/>
  <c r="A21" i="18" s="1"/>
  <c r="D20" i="18"/>
  <c r="A20" i="18" s="1"/>
  <c r="D18" i="18"/>
  <c r="A18" i="18" s="1"/>
  <c r="D17" i="18"/>
  <c r="A17" i="18" s="1"/>
  <c r="D16" i="18"/>
  <c r="A16" i="18" s="1"/>
  <c r="D14" i="18"/>
  <c r="A14" i="18" s="1"/>
  <c r="D13" i="18"/>
  <c r="A13" i="18" s="1"/>
  <c r="G17" i="18"/>
  <c r="I17" i="18" s="1"/>
  <c r="G16" i="18"/>
  <c r="I16" i="18" s="1"/>
  <c r="G15" i="18"/>
  <c r="I15" i="18" s="1"/>
  <c r="G14" i="18"/>
  <c r="I14" i="18" s="1"/>
  <c r="G13" i="18"/>
  <c r="I13" i="18" s="1"/>
  <c r="G12" i="18"/>
  <c r="H12" i="18" s="1"/>
  <c r="G11" i="18"/>
  <c r="I11" i="18" s="1"/>
  <c r="G10" i="18"/>
  <c r="H10" i="18" s="1"/>
  <c r="G9" i="18"/>
  <c r="H9" i="18" s="1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G7" i="17"/>
  <c r="F7" i="17"/>
  <c r="G6" i="17"/>
  <c r="F6" i="17"/>
  <c r="G9" i="1"/>
  <c r="G12" i="1"/>
  <c r="G17" i="1"/>
  <c r="H20" i="1"/>
  <c r="G20" i="1"/>
  <c r="H19" i="1"/>
  <c r="G19" i="1"/>
  <c r="H18" i="1"/>
  <c r="G18" i="1"/>
  <c r="H17" i="1"/>
  <c r="H16" i="1"/>
  <c r="G16" i="1"/>
  <c r="H15" i="1"/>
  <c r="G15" i="1"/>
  <c r="H14" i="1"/>
  <c r="G14" i="1"/>
  <c r="H13" i="1"/>
  <c r="G13" i="1"/>
  <c r="H12" i="1"/>
  <c r="H11" i="1"/>
  <c r="H10" i="1"/>
  <c r="H9" i="1"/>
  <c r="H15" i="24" l="1"/>
  <c r="H9" i="24"/>
  <c r="H14" i="24"/>
  <c r="H10" i="24"/>
  <c r="I11" i="24"/>
  <c r="I10" i="18"/>
  <c r="H11" i="18"/>
  <c r="I12" i="18"/>
  <c r="H17" i="18"/>
  <c r="H13" i="18"/>
  <c r="I9" i="18"/>
  <c r="H14" i="18"/>
  <c r="H15" i="18"/>
  <c r="H16" i="18"/>
</calcChain>
</file>

<file path=xl/sharedStrings.xml><?xml version="1.0" encoding="utf-8"?>
<sst xmlns="http://schemas.openxmlformats.org/spreadsheetml/2006/main" count="628" uniqueCount="83">
  <si>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</si>
  <si>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</si>
  <si>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</si>
  <si>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</si>
  <si>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</si>
  <si>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</si>
  <si>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</si>
  <si>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</si>
  <si>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</si>
  <si>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</si>
  <si>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</si>
  <si>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</si>
  <si>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</si>
  <si>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</si>
  <si>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</si>
  <si>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</si>
  <si>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</si>
  <si>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</si>
  <si>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</si>
  <si>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</si>
  <si>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</si>
  <si>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</si>
  <si>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</si>
  <si>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</si>
  <si>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</si>
  <si>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</si>
  <si>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PROCV</t>
  </si>
  <si>
    <t>Salário</t>
  </si>
  <si>
    <t>Produto</t>
  </si>
  <si>
    <t>Vendedor</t>
  </si>
  <si>
    <t>Leonardo Almeida</t>
  </si>
  <si>
    <t>Tênis Feminino</t>
  </si>
  <si>
    <t>Eliane Moreira</t>
  </si>
  <si>
    <t>Calça Feminina Jogger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</si>
  <si>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</si>
  <si>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</si>
  <si>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</si>
  <si>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</si>
  <si>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</si>
  <si>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</si>
  <si>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</si>
  <si>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</si>
  <si>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</si>
  <si>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</si>
  <si>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</si>
  <si>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</si>
  <si>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</si>
  <si>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</si>
  <si>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</si>
  <si>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</si>
  <si>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</si>
  <si>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Angela Maria</t>
  </si>
  <si>
    <t>Carlos Moreira</t>
  </si>
  <si>
    <t>Boné</t>
  </si>
  <si>
    <t>Relógio</t>
  </si>
  <si>
    <t>Chinelo</t>
  </si>
  <si>
    <t>Vezes</t>
  </si>
  <si>
    <t>Linha</t>
  </si>
  <si>
    <t>Chave</t>
  </si>
  <si>
    <t>BR5083-Leonardo Almeida</t>
  </si>
  <si>
    <t>BR9054-Eliane Moreira</t>
  </si>
  <si>
    <t>BR8828-Nicolas Pereira</t>
  </si>
  <si>
    <t>BR9117-Amanda Martins</t>
  </si>
  <si>
    <t>BR7712-Paulo Santos</t>
  </si>
  <si>
    <t>BR8853-Aline Rosa</t>
  </si>
  <si>
    <t>Asterisco em PROCV - Pega tudo que vem antes ou depois do texto</t>
  </si>
  <si>
    <t>Fórmula em inglês: =COUNTIF($B$9:B9;B9)</t>
  </si>
  <si>
    <t>COL - Retorna o número de uma coluna de uma célula</t>
  </si>
  <si>
    <t>LIN - Retorna o número da linha de uma célula</t>
  </si>
  <si>
    <t>Desafio</t>
  </si>
  <si>
    <t>Faça a mesma fórmula da aba / planilha anterior na célula E15, só que no lugar de usar números para linhas e colunas,</t>
  </si>
  <si>
    <t xml:space="preserve">use as funções LIN e COL tanto para linha quanto para a coluna, use também as âncoras </t>
  </si>
  <si>
    <t>Para que seja possível copiar a fórmula da E15 para as demais células entre E15:F23</t>
  </si>
  <si>
    <t>Fórmula em inglês: =VLOOKUP(F9;$B$8:$D$20;2;0)</t>
  </si>
  <si>
    <t>Fórmula em inglês: =VLOOKUP(E6;A:C;2;0)</t>
  </si>
  <si>
    <t>Fórmula em inglês: =IFERROR(VLOOKUP($G9;$A:$C;COLUMN(B1);0);"-")</t>
  </si>
  <si>
    <t>Fórmula em inglês: =VLOOKUP(D9;$A$18:$B$24;2;0)</t>
  </si>
  <si>
    <t>Fórmula em inglês: =VLOOKUP(VLOOKUP(D9;$A$18:$B$24;2;0);$A$8:$B$14;2;0)</t>
  </si>
  <si>
    <t>Fórmula em inglês: =VLOOKUP("*"&amp;$D19;$A$8:$B$14;2;0)</t>
  </si>
  <si>
    <t>Chave Pesquisa</t>
  </si>
  <si>
    <t>=SEERRO(PROCV($G9;$A:$C;COL(B1);0);"-")</t>
  </si>
  <si>
    <t>=SEERRO(PROCV($E$11&amp;LIN(A1);$A:$C;COL(B1);0);"-")</t>
  </si>
  <si>
    <t>=PROCV(PROCV(D9;$A$18:$B$24;2;0);$A$8:$B$14;2;0)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</si>
</sst>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44" fontId="3" fillId="0" borderId="0" xfId="1" applyFont="1" applyAlignment="1"/>
    <xf numFmtId="44" fontId="4" fillId="0" borderId="0" xfId="1" applyFont="1" applyAlignment="1"/>
    <xf numFmtId="0" fontId="5" fillId="2" borderId="2" xfId="0" applyFont="1" applyFill="1" applyBorder="1"/>
    <xf numFmtId="44" fontId="5" fillId="2" borderId="2" xfId="1" applyFont="1" applyFill="1" applyBorder="1" applyAlignment="1">
      <alignment horizontal="right"/>
    </xf>
    <xf numFmtId="0" fontId="6" fillId="0" borderId="1" xfId="0" applyFont="1" applyBorder="1"/>
    <xf numFmtId="44" fontId="6" fillId="0" borderId="1" xfId="1" applyFont="1" applyBorder="1"/>
    <xf numFmtId="0" fontId="7" fillId="0" borderId="0" xfId="0" applyFont="1"/>
    <xf numFmtId="44" fontId="5" fillId="2" borderId="0" xfId="1" applyFont="1" applyFill="1" applyBorder="1" applyAlignment="1">
      <alignment horizontal="right"/>
    </xf>
    <xf numFmtId="1" fontId="6" fillId="0" borderId="0" xfId="1" applyNumberFormat="1" applyFont="1" applyBorder="1"/>
    <xf numFmtId="0" fontId="6" fillId="0" borderId="0" xfId="0" applyFont="1"/>
    <xf numFmtId="0" fontId="6" fillId="3" borderId="1" xfId="0" applyFont="1" applyFill="1" applyBorder="1"/>
    <xf numFmtId="44" fontId="6" fillId="3" borderId="1" xfId="1" applyFont="1" applyFill="1" applyBorder="1"/>
    <xf numFmtId="0" fontId="8" fillId="0" borderId="0" xfId="0" quotePrefix="1" applyFont="1"/>
    <xf numFmtId="0" fontId="7" fillId="0" borderId="1" xfId="0" applyFont="1" applyBorder="1"/>
    <xf numFmtId="1" fontId="7" fillId="3" borderId="0" xfId="1" applyNumberFormat="1" applyFont="1" applyFill="1" applyBorder="1"/>
    <xf numFmtId="0" fontId="7" fillId="3" borderId="0" xfId="0" applyFont="1" applyFill="1"/>
    <xf numFmtId="0" fontId="7" fillId="3" borderId="1" xfId="0" applyFont="1" applyFill="1" applyBorder="1"/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quotePrefix="1" applyFont="1"/>
    <xf numFmtId="0" fontId="9" fillId="3" borderId="1" xfId="0" applyFont="1" applyFill="1" applyBorder="1"/>
    <xf numFmtId="0" fontId="10" fillId="0" borderId="0" xfId="0" quotePrefix="1" applyFont="1"/>
    <xf numFmtId="0" fontId="9" fillId="0" borderId="0" xfId="0" quotePrefix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E1"/>
      <color rgb="FFFFFFF7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B2:H20"/>
  <sheetViews>
    <sheetView showGridLines="0" topLeftCell="A2" zoomScale="94" workbookViewId="0">
      <selection activeCell="B8" sqref="B8"/>
    </sheetView>
  </sheetViews>
  <sheetFormatPr defaultRowHeight="15" x14ac:dyDescent="0.25"/>
  <cols>
    <col min="1" max="1" width="6" customWidth="1"/>
    <col min="2" max="2" width="24.28515625" customWidth="1"/>
    <col min="3" max="3" width="27.28515625" customWidth="1"/>
    <col min="4" max="4" width="20.7109375" style="1" customWidth="1"/>
    <col min="6" max="6" width="21.42578125" customWidth="1"/>
    <col min="7" max="7" width="27.28515625" customWidth="1"/>
    <col min="8" max="8" width="16.7109375" customWidth="1"/>
  </cols>
  <sheetData>
    <row r="2" spans="2:8" ht="92.25" x14ac:dyDescent="1.35">
      <c r="B2" s="3" t="s">
        <v>26</v>
      </c>
      <c r="C2" s="2"/>
      <c r="D2" s="2"/>
      <c r="E2" s="2"/>
      <c r="F2" s="2"/>
      <c r="G2" s="2"/>
      <c r="H2" s="2"/>
    </row>
    <row r="5" spans="2:8" ht="21" x14ac:dyDescent="0.35">
      <c r="C5" s="8" t="s">
        <v>73</v>
      </c>
    </row>
    <row r="8" spans="2:8" ht="18.75" x14ac:dyDescent="0.3">
      <c r="B8" s="4" t="s">
        <v>13</v>
      </c>
      <c r="C8" s="4" t="s">
        <v>12</v>
      </c>
      <c r="D8" s="5" t="s">
        <v>27</v>
      </c>
      <c r="F8" s="4" t="s">
        <v>13</v>
      </c>
      <c r="G8" s="4" t="s">
        <v>12</v>
      </c>
      <c r="H8" s="5" t="s">
        <v>27</v>
      </c>
    </row>
    <row r="9" spans="2:8" ht="18.75" x14ac:dyDescent="0.3">
      <c r="B9" s="6" t="s">
        <v>14</v>
      </c>
      <c r="C9" s="6" t="s">
        <v>0</v>
      </c>
      <c r="D9" s="7">
        <v>2000</v>
      </c>
      <c r="F9" s="6" t="s">
        <v>14</v>
      </c>
      <c r="G9" s="12" t="str">
        <f>VLOOKUP(F9,$B$8:$D$20,2,0)</f>
        <v>Bruna Alves</v>
      </c>
      <c r="H9" s="13">
        <f>VLOOKUP(F9,$B$8:$D$20,3,0)</f>
        <v>2000</v>
      </c>
    </row>
    <row r="10" spans="2:8" ht="18.75" x14ac:dyDescent="0.3">
      <c r="B10" s="6" t="s">
        <v>15</v>
      </c>
      <c r="C10" s="6" t="s">
        <v>1</v>
      </c>
      <c r="D10" s="7">
        <v>2500</v>
      </c>
      <c r="F10" s="6" t="s">
        <v>15</v>
      </c>
      <c r="G10" s="12" t="str">
        <f>VLOOKUP(F10,$B$8:$D$20,2,0)</f>
        <v>Afonso Alves</v>
      </c>
      <c r="H10" s="13">
        <f t="shared" ref="H10:H20" si="0">VLOOKUP(F10,$B$8:$D$20,3,0)</f>
        <v>2500</v>
      </c>
    </row>
    <row r="11" spans="2:8" ht="18.75" x14ac:dyDescent="0.3">
      <c r="B11" s="6" t="s">
        <v>16</v>
      </c>
      <c r="C11" s="6" t="s">
        <v>2</v>
      </c>
      <c r="D11" s="7">
        <v>3000</v>
      </c>
      <c r="F11" s="6" t="s">
        <v>16</v>
      </c>
      <c r="G11" s="12" t="str">
        <f>VLOOKUP(F11,$B$8:$D$20,2,0)</f>
        <v>Caroline Gois Abreu</v>
      </c>
      <c r="H11" s="13">
        <f t="shared" si="0"/>
        <v>3000</v>
      </c>
    </row>
    <row r="12" spans="2:8" ht="18.75" x14ac:dyDescent="0.3">
      <c r="B12" s="6" t="s">
        <v>17</v>
      </c>
      <c r="C12" s="6" t="s">
        <v>3</v>
      </c>
      <c r="D12" s="7">
        <v>3000</v>
      </c>
      <c r="F12" s="6" t="s">
        <v>17</v>
      </c>
      <c r="G12" s="12" t="str">
        <f>VLOOKUP(F12,$B$8:$D$20,2,0)</f>
        <v>Henrique Oliveira Silva</v>
      </c>
      <c r="H12" s="13">
        <f t="shared" si="0"/>
        <v>3000</v>
      </c>
    </row>
    <row r="13" spans="2:8" ht="18.75" x14ac:dyDescent="0.3">
      <c r="B13" s="6" t="s">
        <v>18</v>
      </c>
      <c r="C13" s="6" t="s">
        <v>4</v>
      </c>
      <c r="D13" s="7">
        <v>2000</v>
      </c>
      <c r="F13" s="6" t="s">
        <v>18</v>
      </c>
      <c r="G13" s="12" t="str">
        <f t="shared" ref="G13:G20" si="1">VLOOKUP(F13,$B$8:$D$20,2,0)</f>
        <v>Kaliane Almeida Abreu</v>
      </c>
      <c r="H13" s="13">
        <f t="shared" si="0"/>
        <v>2000</v>
      </c>
    </row>
    <row r="14" spans="2:8" ht="18.75" x14ac:dyDescent="0.3">
      <c r="B14" s="6" t="s">
        <v>19</v>
      </c>
      <c r="C14" s="6" t="s">
        <v>5</v>
      </c>
      <c r="D14" s="7">
        <v>2000</v>
      </c>
      <c r="F14" s="6" t="s">
        <v>19</v>
      </c>
      <c r="G14" s="12" t="str">
        <f t="shared" si="1"/>
        <v>Ryan Merryman</v>
      </c>
      <c r="H14" s="13">
        <f t="shared" si="0"/>
        <v>2000</v>
      </c>
    </row>
    <row r="15" spans="2:8" ht="18.75" x14ac:dyDescent="0.3">
      <c r="B15" s="6" t="s">
        <v>20</v>
      </c>
      <c r="C15" s="6" t="s">
        <v>6</v>
      </c>
      <c r="D15" s="7">
        <v>2000</v>
      </c>
      <c r="F15" s="6" t="s">
        <v>20</v>
      </c>
      <c r="G15" s="12" t="str">
        <f t="shared" si="1"/>
        <v>Robson Martins</v>
      </c>
      <c r="H15" s="13">
        <f t="shared" si="0"/>
        <v>2000</v>
      </c>
    </row>
    <row r="16" spans="2:8" ht="18.75" x14ac:dyDescent="0.3">
      <c r="B16" s="6" t="s">
        <v>21</v>
      </c>
      <c r="C16" s="6" t="s">
        <v>7</v>
      </c>
      <c r="D16" s="7">
        <v>5000</v>
      </c>
      <c r="F16" s="6" t="s">
        <v>21</v>
      </c>
      <c r="G16" s="12" t="str">
        <f t="shared" si="1"/>
        <v>Thiago Santana Gomes</v>
      </c>
      <c r="H16" s="13">
        <f t="shared" si="0"/>
        <v>5000</v>
      </c>
    </row>
    <row r="17" spans="2:8" ht="18.75" x14ac:dyDescent="0.3">
      <c r="B17" s="6" t="s">
        <v>22</v>
      </c>
      <c r="C17" s="6" t="s">
        <v>8</v>
      </c>
      <c r="D17" s="7">
        <v>5000</v>
      </c>
      <c r="F17" s="6" t="s">
        <v>22</v>
      </c>
      <c r="G17" s="12" t="str">
        <f>VLOOKUP(F17,$B$8:$D$20,2,0)</f>
        <v>Erika Souza Aguiar</v>
      </c>
      <c r="H17" s="13">
        <f t="shared" si="0"/>
        <v>5000</v>
      </c>
    </row>
    <row r="18" spans="2:8" ht="18.75" x14ac:dyDescent="0.3">
      <c r="B18" s="6" t="s">
        <v>23</v>
      </c>
      <c r="C18" s="6" t="s">
        <v>9</v>
      </c>
      <c r="D18" s="7">
        <v>5000</v>
      </c>
      <c r="F18" s="6" t="s">
        <v>23</v>
      </c>
      <c r="G18" s="12" t="str">
        <f t="shared" si="1"/>
        <v>Felipe Borges Aguiar</v>
      </c>
      <c r="H18" s="13">
        <f t="shared" si="0"/>
        <v>5000</v>
      </c>
    </row>
    <row r="19" spans="2:8" ht="18.75" x14ac:dyDescent="0.3">
      <c r="B19" s="6" t="s">
        <v>24</v>
      </c>
      <c r="C19" s="6" t="s">
        <v>10</v>
      </c>
      <c r="D19" s="7">
        <v>4000</v>
      </c>
      <c r="F19" s="6" t="s">
        <v>24</v>
      </c>
      <c r="G19" s="12" t="str">
        <f t="shared" si="1"/>
        <v>Tiago de Oliveira</v>
      </c>
      <c r="H19" s="13">
        <f t="shared" si="0"/>
        <v>4000</v>
      </c>
    </row>
    <row r="20" spans="2:8" ht="18.75" x14ac:dyDescent="0.3">
      <c r="B20" s="6" t="s">
        <v>25</v>
      </c>
      <c r="C20" s="6" t="s">
        <v>11</v>
      </c>
      <c r="D20" s="7">
        <v>4000</v>
      </c>
      <c r="F20" s="6" t="s">
        <v>25</v>
      </c>
      <c r="G20" s="12" t="str">
        <f t="shared" si="1"/>
        <v>Frederico Rubens</v>
      </c>
      <c r="H20" s="13">
        <f t="shared" si="0"/>
        <v>4000</v>
      </c>
    </row>
  </sheetData>
  <phoneticPr fontId="2" type="noConversion"/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9485-6D01-41AE-9BD8-562B28155230}">
  <dimension ref="A2:G17"/>
  <sheetViews>
    <sheetView showGridLines="0" zoomScale="94" workbookViewId="0">
      <selection activeCell="A5" sqref="A5"/>
    </sheetView>
  </sheetViews>
  <sheetFormatPr defaultRowHeight="15" x14ac:dyDescent="0.25"/>
  <cols>
    <col min="1" max="1" width="22.7109375" customWidth="1"/>
    <col min="2" max="2" width="31.42578125" customWidth="1"/>
    <col min="3" max="3" width="22.42578125" customWidth="1"/>
    <col min="5" max="5" width="22.7109375" customWidth="1"/>
    <col min="6" max="6" width="31.42578125" customWidth="1"/>
    <col min="7" max="7" width="31.85546875" customWidth="1"/>
  </cols>
  <sheetData>
    <row r="2" spans="1:7" ht="21" x14ac:dyDescent="0.35">
      <c r="A2" s="8" t="s">
        <v>74</v>
      </c>
    </row>
    <row r="5" spans="1:7" ht="18.75" x14ac:dyDescent="0.3">
      <c r="A5" s="4" t="s">
        <v>13</v>
      </c>
      <c r="B5" s="4" t="s">
        <v>12</v>
      </c>
      <c r="C5" s="5" t="s">
        <v>27</v>
      </c>
      <c r="E5" s="4" t="s">
        <v>13</v>
      </c>
      <c r="F5" s="4" t="s">
        <v>12</v>
      </c>
      <c r="G5" s="5" t="s">
        <v>27</v>
      </c>
    </row>
    <row r="6" spans="1:7" ht="18.75" x14ac:dyDescent="0.3">
      <c r="A6" s="6" t="s">
        <v>14</v>
      </c>
      <c r="B6" s="6" t="s">
        <v>0</v>
      </c>
      <c r="C6" s="7">
        <v>2000</v>
      </c>
      <c r="E6" s="6" t="s">
        <v>14</v>
      </c>
      <c r="F6" s="12" t="str">
        <f>VLOOKUP(E6,A:C,2,FALSE)</f>
        <v>Bruna Alves</v>
      </c>
      <c r="G6" s="13">
        <f>VLOOKUP(E6,A:C,3,0)</f>
        <v>2000</v>
      </c>
    </row>
    <row r="7" spans="1:7" ht="18.75" x14ac:dyDescent="0.3">
      <c r="A7" s="6" t="s">
        <v>15</v>
      </c>
      <c r="B7" s="6" t="s">
        <v>1</v>
      </c>
      <c r="C7" s="7">
        <v>2500</v>
      </c>
      <c r="E7" s="6" t="s">
        <v>15</v>
      </c>
      <c r="F7" s="12" t="str">
        <f t="shared" ref="F7:F17" si="0">VLOOKUP(E7,A:C,2,FALSE)</f>
        <v>Afonso Alves</v>
      </c>
      <c r="G7" s="13">
        <f t="shared" ref="G7:G17" si="1">VLOOKUP(E7,A:C,3,0)</f>
        <v>2500</v>
      </c>
    </row>
    <row r="8" spans="1:7" ht="18.75" x14ac:dyDescent="0.3">
      <c r="A8" s="6" t="s">
        <v>16</v>
      </c>
      <c r="B8" s="6" t="s">
        <v>2</v>
      </c>
      <c r="C8" s="7">
        <v>3000</v>
      </c>
      <c r="E8" s="6" t="s">
        <v>16</v>
      </c>
      <c r="F8" s="12" t="str">
        <f>VLOOKUP(E8,A:C,2,FALSE)</f>
        <v>Caroline Gois Abreu</v>
      </c>
      <c r="G8" s="13">
        <f t="shared" si="1"/>
        <v>3000</v>
      </c>
    </row>
    <row r="9" spans="1:7" ht="18.75" x14ac:dyDescent="0.3">
      <c r="A9" s="6" t="s">
        <v>17</v>
      </c>
      <c r="B9" s="6" t="s">
        <v>3</v>
      </c>
      <c r="C9" s="7">
        <v>3000</v>
      </c>
      <c r="E9" s="6" t="s">
        <v>17</v>
      </c>
      <c r="F9" s="12" t="str">
        <f t="shared" si="0"/>
        <v>Henrique Oliveira Silva</v>
      </c>
      <c r="G9" s="13">
        <f t="shared" si="1"/>
        <v>3000</v>
      </c>
    </row>
    <row r="10" spans="1:7" ht="18.75" x14ac:dyDescent="0.3">
      <c r="A10" s="6" t="s">
        <v>18</v>
      </c>
      <c r="B10" s="6" t="s">
        <v>4</v>
      </c>
      <c r="C10" s="7">
        <v>2000</v>
      </c>
      <c r="E10" s="6" t="s">
        <v>18</v>
      </c>
      <c r="F10" s="12" t="str">
        <f t="shared" si="0"/>
        <v>Kaliane Almeida Abreu</v>
      </c>
      <c r="G10" s="13">
        <f t="shared" si="1"/>
        <v>2000</v>
      </c>
    </row>
    <row r="11" spans="1:7" ht="18.75" x14ac:dyDescent="0.3">
      <c r="A11" s="6" t="s">
        <v>19</v>
      </c>
      <c r="B11" s="6" t="s">
        <v>5</v>
      </c>
      <c r="C11" s="7">
        <v>2000</v>
      </c>
      <c r="E11" s="6" t="s">
        <v>19</v>
      </c>
      <c r="F11" s="12" t="str">
        <f t="shared" si="0"/>
        <v>Ryan Merryman</v>
      </c>
      <c r="G11" s="13">
        <f t="shared" si="1"/>
        <v>2000</v>
      </c>
    </row>
    <row r="12" spans="1:7" ht="18.75" x14ac:dyDescent="0.3">
      <c r="A12" s="6" t="s">
        <v>20</v>
      </c>
      <c r="B12" s="6" t="s">
        <v>6</v>
      </c>
      <c r="C12" s="7">
        <v>2000</v>
      </c>
      <c r="E12" s="6" t="s">
        <v>20</v>
      </c>
      <c r="F12" s="12" t="str">
        <f t="shared" si="0"/>
        <v>Robson Martins</v>
      </c>
      <c r="G12" s="13">
        <f t="shared" si="1"/>
        <v>2000</v>
      </c>
    </row>
    <row r="13" spans="1:7" ht="18.75" x14ac:dyDescent="0.3">
      <c r="A13" s="6" t="s">
        <v>21</v>
      </c>
      <c r="B13" s="6" t="s">
        <v>7</v>
      </c>
      <c r="C13" s="7">
        <v>5000</v>
      </c>
      <c r="E13" s="6" t="s">
        <v>21</v>
      </c>
      <c r="F13" s="12" t="str">
        <f t="shared" si="0"/>
        <v>Thiago Santana Gomes</v>
      </c>
      <c r="G13" s="13">
        <f t="shared" si="1"/>
        <v>5000</v>
      </c>
    </row>
    <row r="14" spans="1:7" ht="18.75" x14ac:dyDescent="0.3">
      <c r="A14" s="6" t="s">
        <v>22</v>
      </c>
      <c r="B14" s="6" t="s">
        <v>8</v>
      </c>
      <c r="C14" s="7">
        <v>5000</v>
      </c>
      <c r="E14" s="6" t="s">
        <v>22</v>
      </c>
      <c r="F14" s="12" t="str">
        <f t="shared" si="0"/>
        <v>Erika Souza Aguiar</v>
      </c>
      <c r="G14" s="13">
        <f t="shared" si="1"/>
        <v>5000</v>
      </c>
    </row>
    <row r="15" spans="1:7" ht="18.75" x14ac:dyDescent="0.3">
      <c r="A15" s="6" t="s">
        <v>23</v>
      </c>
      <c r="B15" s="6" t="s">
        <v>9</v>
      </c>
      <c r="C15" s="7">
        <v>5000</v>
      </c>
      <c r="E15" s="6" t="s">
        <v>23</v>
      </c>
      <c r="F15" s="12" t="str">
        <f t="shared" si="0"/>
        <v>Felipe Borges Aguiar</v>
      </c>
      <c r="G15" s="13">
        <f t="shared" si="1"/>
        <v>5000</v>
      </c>
    </row>
    <row r="16" spans="1:7" ht="18.75" x14ac:dyDescent="0.3">
      <c r="A16" s="6" t="s">
        <v>24</v>
      </c>
      <c r="B16" s="6" t="s">
        <v>10</v>
      </c>
      <c r="C16" s="7">
        <v>4000</v>
      </c>
      <c r="E16" s="6" t="s">
        <v>24</v>
      </c>
      <c r="F16" s="12" t="str">
        <f t="shared" si="0"/>
        <v>Tiago de Oliveira</v>
      </c>
      <c r="G16" s="13">
        <f t="shared" si="1"/>
        <v>4000</v>
      </c>
    </row>
    <row r="17" spans="1:7" ht="18.75" x14ac:dyDescent="0.3">
      <c r="A17" s="6" t="s">
        <v>25</v>
      </c>
      <c r="B17" s="6" t="s">
        <v>11</v>
      </c>
      <c r="C17" s="7">
        <v>4000</v>
      </c>
      <c r="E17" s="6" t="s">
        <v>25</v>
      </c>
      <c r="F17" s="12" t="str">
        <f t="shared" si="0"/>
        <v>Frederico Rubens</v>
      </c>
      <c r="G17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F3AA-6BC8-4EC9-8919-1B107847C235}">
  <dimension ref="A1:R45"/>
  <sheetViews>
    <sheetView showGridLines="0" zoomScale="94" workbookViewId="0">
      <selection activeCell="B8" sqref="B8"/>
    </sheetView>
  </sheetViews>
  <sheetFormatPr defaultRowHeight="15" x14ac:dyDescent="0.25"/>
  <cols>
    <col min="1" max="1" width="24.28515625" bestFit="1" customWidth="1"/>
    <col min="2" max="2" width="29.42578125" customWidth="1"/>
    <col min="3" max="3" width="31.42578125" customWidth="1"/>
    <col min="4" max="4" width="8.7109375" bestFit="1" customWidth="1"/>
    <col min="7" max="7" width="26.7109375" customWidth="1"/>
    <col min="8" max="8" width="30.42578125" customWidth="1"/>
    <col min="9" max="9" width="42.28515625" customWidth="1"/>
  </cols>
  <sheetData>
    <row r="1" spans="1:18" ht="28.5" x14ac:dyDescent="0.45">
      <c r="H1" s="14" t="s">
        <v>67</v>
      </c>
    </row>
    <row r="2" spans="1:18" ht="28.5" x14ac:dyDescent="0.45">
      <c r="H2" s="14" t="s">
        <v>68</v>
      </c>
    </row>
    <row r="4" spans="1:18" ht="21" x14ac:dyDescent="0.35">
      <c r="B4" s="8" t="s">
        <v>66</v>
      </c>
      <c r="H4" s="4" t="s">
        <v>29</v>
      </c>
    </row>
    <row r="5" spans="1:18" ht="21" x14ac:dyDescent="0.35">
      <c r="B5" s="8" t="s">
        <v>75</v>
      </c>
      <c r="H5" s="6" t="s">
        <v>32</v>
      </c>
    </row>
    <row r="6" spans="1:18" ht="31.5" x14ac:dyDescent="0.5">
      <c r="B6" s="21" t="s">
        <v>80</v>
      </c>
    </row>
    <row r="7" spans="1:18" ht="31.5" x14ac:dyDescent="0.5"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ht="18.75" x14ac:dyDescent="0.3">
      <c r="A8" s="11" t="s">
        <v>79</v>
      </c>
      <c r="B8" s="4" t="s">
        <v>29</v>
      </c>
      <c r="C8" s="4" t="s">
        <v>28</v>
      </c>
      <c r="D8" s="9" t="s">
        <v>56</v>
      </c>
      <c r="F8" s="11" t="s">
        <v>57</v>
      </c>
      <c r="G8" s="11" t="s">
        <v>58</v>
      </c>
      <c r="H8" s="4" t="s">
        <v>29</v>
      </c>
      <c r="I8" s="4" t="s">
        <v>28</v>
      </c>
    </row>
    <row r="9" spans="1:18" ht="21" x14ac:dyDescent="0.35">
      <c r="A9" s="8" t="str">
        <f>B9&amp;D9</f>
        <v>Leonardo Almeida1</v>
      </c>
      <c r="B9" s="15" t="s">
        <v>30</v>
      </c>
      <c r="C9" s="15" t="s">
        <v>31</v>
      </c>
      <c r="D9" s="16">
        <f>COUNTIF($B$9:B9,B9)</f>
        <v>1</v>
      </c>
      <c r="F9" s="8">
        <v>1</v>
      </c>
      <c r="G9" s="17" t="str">
        <f>$H$5&amp;F9</f>
        <v>Eliane Moreira1</v>
      </c>
      <c r="H9" s="18" t="str">
        <f>IFERROR(VLOOKUP($G9,$A:$C,COLUMN(B1),0),"-")</f>
        <v>Eliane Moreira</v>
      </c>
      <c r="I9" s="18" t="str">
        <f t="shared" ref="I9:I17" si="0">IFERROR(VLOOKUP($G9,$A:$C,COLUMN(C1),0),"-")</f>
        <v>Calça Feminina Jogger</v>
      </c>
    </row>
    <row r="10" spans="1:18" ht="21" x14ac:dyDescent="0.35">
      <c r="A10" s="8" t="str">
        <f>B10&amp;D10</f>
        <v>Eliane Moreira1</v>
      </c>
      <c r="B10" s="15" t="s">
        <v>32</v>
      </c>
      <c r="C10" s="15" t="s">
        <v>33</v>
      </c>
      <c r="D10" s="16">
        <f>COUNTIF($B$9:B10,B10)</f>
        <v>1</v>
      </c>
      <c r="F10" s="8">
        <v>2</v>
      </c>
      <c r="G10" s="17" t="str">
        <f t="shared" ref="G10:G17" si="1">$H$5&amp;F10</f>
        <v>Eliane Moreira2</v>
      </c>
      <c r="H10" s="18" t="str">
        <f t="shared" ref="H10:H17" si="2">IFERROR(VLOOKUP($G10,$A:$C,COLUMN(B2),0),"-")</f>
        <v>Eliane Moreira</v>
      </c>
      <c r="I10" s="18" t="str">
        <f t="shared" si="0"/>
        <v>Bolsa de Trabalho</v>
      </c>
    </row>
    <row r="11" spans="1:18" ht="21" x14ac:dyDescent="0.35">
      <c r="A11" s="8" t="str">
        <f>B11&amp;D11</f>
        <v>Nicolas Pereira1</v>
      </c>
      <c r="B11" s="15" t="s">
        <v>34</v>
      </c>
      <c r="C11" s="15" t="s">
        <v>35</v>
      </c>
      <c r="D11" s="16">
        <f>COUNTIF($B$9:B11,B11)</f>
        <v>1</v>
      </c>
      <c r="F11" s="8">
        <v>3</v>
      </c>
      <c r="G11" s="17" t="str">
        <f t="shared" si="1"/>
        <v>Eliane Moreira3</v>
      </c>
      <c r="H11" s="18" t="str">
        <f t="shared" si="2"/>
        <v>Eliane Moreira</v>
      </c>
      <c r="I11" s="18" t="str">
        <f t="shared" si="0"/>
        <v>Camisa Térmica</v>
      </c>
    </row>
    <row r="12" spans="1:18" ht="21" x14ac:dyDescent="0.35">
      <c r="A12" s="8" t="str">
        <f t="shared" ref="A12:A45" si="3">B12&amp;D12</f>
        <v>Amanda Martins1</v>
      </c>
      <c r="B12" s="15" t="s">
        <v>36</v>
      </c>
      <c r="C12" s="15" t="s">
        <v>37</v>
      </c>
      <c r="D12" s="16">
        <f>COUNTIF($B$9:B12,B12)</f>
        <v>1</v>
      </c>
      <c r="F12" s="8">
        <v>4</v>
      </c>
      <c r="G12" s="17" t="str">
        <f t="shared" si="1"/>
        <v>Eliane Moreira4</v>
      </c>
      <c r="H12" s="18" t="str">
        <f t="shared" si="2"/>
        <v>Eliane Moreira</v>
      </c>
      <c r="I12" s="18" t="str">
        <f t="shared" si="0"/>
        <v>Colar Pingente</v>
      </c>
    </row>
    <row r="13" spans="1:18" ht="21" x14ac:dyDescent="0.35">
      <c r="A13" s="8" t="str">
        <f t="shared" si="3"/>
        <v>Paulo Santos1</v>
      </c>
      <c r="B13" s="15" t="s">
        <v>38</v>
      </c>
      <c r="C13" s="15" t="s">
        <v>39</v>
      </c>
      <c r="D13" s="16">
        <f>COUNTIF($B$9:B13,B13)</f>
        <v>1</v>
      </c>
      <c r="F13" s="8">
        <v>5</v>
      </c>
      <c r="G13" s="17" t="str">
        <f t="shared" si="1"/>
        <v>Eliane Moreira5</v>
      </c>
      <c r="H13" s="18" t="str">
        <f t="shared" si="2"/>
        <v>Eliane Moreira</v>
      </c>
      <c r="I13" s="18" t="str">
        <f>IFERROR(VLOOKUP($G13,$A:$C,COLUMN(C5),0),"-")</f>
        <v>Camisa Masculina</v>
      </c>
    </row>
    <row r="14" spans="1:18" ht="21" x14ac:dyDescent="0.35">
      <c r="A14" s="8" t="str">
        <f t="shared" si="3"/>
        <v>Aline Rosa1</v>
      </c>
      <c r="B14" s="15" t="s">
        <v>40</v>
      </c>
      <c r="C14" s="15" t="s">
        <v>41</v>
      </c>
      <c r="D14" s="16">
        <f>COUNTIF($B$9:B14,B14)</f>
        <v>1</v>
      </c>
      <c r="F14" s="8">
        <v>6</v>
      </c>
      <c r="G14" s="17" t="str">
        <f t="shared" si="1"/>
        <v>Eliane Moreira6</v>
      </c>
      <c r="H14" s="18" t="str">
        <f t="shared" si="2"/>
        <v>Eliane Moreira</v>
      </c>
      <c r="I14" s="18" t="str">
        <f t="shared" si="0"/>
        <v>Bolsa de Trabalho</v>
      </c>
    </row>
    <row r="15" spans="1:18" ht="21" x14ac:dyDescent="0.35">
      <c r="A15" s="8" t="str">
        <f t="shared" si="3"/>
        <v>Leonardo Almeida2</v>
      </c>
      <c r="B15" s="15" t="s">
        <v>30</v>
      </c>
      <c r="C15" s="15" t="s">
        <v>42</v>
      </c>
      <c r="D15" s="16">
        <f>COUNTIF($B$9:B15,B15)</f>
        <v>2</v>
      </c>
      <c r="F15" s="8">
        <v>7</v>
      </c>
      <c r="G15" s="17" t="str">
        <f t="shared" si="1"/>
        <v>Eliane Moreira7</v>
      </c>
      <c r="H15" s="18" t="str">
        <f t="shared" si="2"/>
        <v>Eliane Moreira</v>
      </c>
      <c r="I15" s="18" t="str">
        <f t="shared" si="0"/>
        <v>Calça Bailarina</v>
      </c>
    </row>
    <row r="16" spans="1:18" ht="21" x14ac:dyDescent="0.35">
      <c r="A16" s="8" t="str">
        <f t="shared" si="3"/>
        <v>Eliane Moreira2</v>
      </c>
      <c r="B16" s="15" t="s">
        <v>32</v>
      </c>
      <c r="C16" s="15" t="s">
        <v>43</v>
      </c>
      <c r="D16" s="16">
        <f>COUNTIF($B$9:B16,B16)</f>
        <v>2</v>
      </c>
      <c r="F16" s="8">
        <v>8</v>
      </c>
      <c r="G16" s="17" t="str">
        <f t="shared" si="1"/>
        <v>Eliane Moreira8</v>
      </c>
      <c r="H16" s="18" t="str">
        <f t="shared" si="2"/>
        <v>-</v>
      </c>
      <c r="I16" s="18" t="str">
        <f t="shared" si="0"/>
        <v>-</v>
      </c>
    </row>
    <row r="17" spans="1:9" ht="21" x14ac:dyDescent="0.35">
      <c r="A17" s="8" t="str">
        <f t="shared" si="3"/>
        <v>Nicolas Pereira2</v>
      </c>
      <c r="B17" s="15" t="s">
        <v>34</v>
      </c>
      <c r="C17" s="15" t="s">
        <v>44</v>
      </c>
      <c r="D17" s="16">
        <f>COUNTIF($B$9:B17,B17)</f>
        <v>2</v>
      </c>
      <c r="F17" s="8">
        <v>9</v>
      </c>
      <c r="G17" s="17" t="str">
        <f t="shared" si="1"/>
        <v>Eliane Moreira9</v>
      </c>
      <c r="H17" s="18" t="str">
        <f t="shared" si="2"/>
        <v>-</v>
      </c>
      <c r="I17" s="18" t="str">
        <f t="shared" si="0"/>
        <v>-</v>
      </c>
    </row>
    <row r="18" spans="1:9" ht="21" x14ac:dyDescent="0.35">
      <c r="A18" s="8" t="str">
        <f t="shared" si="3"/>
        <v>Amanda Martins2</v>
      </c>
      <c r="B18" s="15" t="s">
        <v>36</v>
      </c>
      <c r="C18" s="15" t="s">
        <v>45</v>
      </c>
      <c r="D18" s="16">
        <f>COUNTIF($B$9:B18,B18)</f>
        <v>2</v>
      </c>
    </row>
    <row r="19" spans="1:9" ht="21" x14ac:dyDescent="0.35">
      <c r="A19" s="8" t="str">
        <f t="shared" si="3"/>
        <v>Leonardo Almeida3</v>
      </c>
      <c r="B19" s="15" t="s">
        <v>30</v>
      </c>
      <c r="C19" s="15" t="s">
        <v>46</v>
      </c>
      <c r="D19" s="16">
        <f>COUNTIF($B$9:B19,B19)</f>
        <v>3</v>
      </c>
    </row>
    <row r="20" spans="1:9" ht="21" x14ac:dyDescent="0.35">
      <c r="A20" s="8" t="str">
        <f t="shared" si="3"/>
        <v>Eliane Moreira3</v>
      </c>
      <c r="B20" s="15" t="s">
        <v>32</v>
      </c>
      <c r="C20" s="15" t="s">
        <v>47</v>
      </c>
      <c r="D20" s="16">
        <f>COUNTIF($B$9:B20,B20)</f>
        <v>3</v>
      </c>
    </row>
    <row r="21" spans="1:9" ht="21" x14ac:dyDescent="0.35">
      <c r="A21" s="8" t="str">
        <f t="shared" si="3"/>
        <v>Nicolas Pereira3</v>
      </c>
      <c r="B21" s="15" t="s">
        <v>34</v>
      </c>
      <c r="C21" s="15" t="s">
        <v>48</v>
      </c>
      <c r="D21" s="16">
        <f>COUNTIF($B$9:B21,B21)</f>
        <v>3</v>
      </c>
    </row>
    <row r="22" spans="1:9" ht="21" x14ac:dyDescent="0.35">
      <c r="A22" s="8" t="str">
        <f t="shared" si="3"/>
        <v>Amanda Martins3</v>
      </c>
      <c r="B22" s="15" t="s">
        <v>36</v>
      </c>
      <c r="C22" s="15" t="s">
        <v>49</v>
      </c>
      <c r="D22" s="16">
        <f>COUNTIF($B$9:B22,B22)</f>
        <v>3</v>
      </c>
    </row>
    <row r="23" spans="1:9" ht="21" x14ac:dyDescent="0.35">
      <c r="A23" s="8" t="str">
        <f t="shared" si="3"/>
        <v>Eliane Moreira4</v>
      </c>
      <c r="B23" s="15" t="s">
        <v>32</v>
      </c>
      <c r="C23" s="15" t="s">
        <v>50</v>
      </c>
      <c r="D23" s="16">
        <f>COUNTIF($B$9:B23,B23)</f>
        <v>4</v>
      </c>
    </row>
    <row r="24" spans="1:9" ht="21" x14ac:dyDescent="0.35">
      <c r="A24" s="8" t="str">
        <f t="shared" si="3"/>
        <v>Angela Maria1</v>
      </c>
      <c r="B24" s="15" t="s">
        <v>51</v>
      </c>
      <c r="C24" s="15" t="s">
        <v>31</v>
      </c>
      <c r="D24" s="16">
        <f>COUNTIF($B$9:B24,B24)</f>
        <v>1</v>
      </c>
    </row>
    <row r="25" spans="1:9" ht="21" x14ac:dyDescent="0.35">
      <c r="A25" s="8" t="str">
        <f t="shared" si="3"/>
        <v>Carlos Moreira1</v>
      </c>
      <c r="B25" s="15" t="s">
        <v>52</v>
      </c>
      <c r="C25" s="15" t="s">
        <v>33</v>
      </c>
      <c r="D25" s="16">
        <f>COUNTIF($B$9:B25,B25)</f>
        <v>1</v>
      </c>
    </row>
    <row r="26" spans="1:9" ht="21" x14ac:dyDescent="0.35">
      <c r="A26" s="8" t="str">
        <f t="shared" si="3"/>
        <v>Eliane Moreira5</v>
      </c>
      <c r="B26" s="15" t="s">
        <v>32</v>
      </c>
      <c r="C26" s="15" t="s">
        <v>35</v>
      </c>
      <c r="D26" s="16">
        <f>COUNTIF($B$9:B26,B26)</f>
        <v>5</v>
      </c>
    </row>
    <row r="27" spans="1:9" ht="21" x14ac:dyDescent="0.35">
      <c r="A27" s="8" t="str">
        <f t="shared" si="3"/>
        <v>Nicolas Pereira4</v>
      </c>
      <c r="B27" s="15" t="s">
        <v>34</v>
      </c>
      <c r="C27" s="15" t="s">
        <v>37</v>
      </c>
      <c r="D27" s="16">
        <f>COUNTIF($B$9:B27,B27)</f>
        <v>4</v>
      </c>
    </row>
    <row r="28" spans="1:9" ht="21" x14ac:dyDescent="0.35">
      <c r="A28" s="8" t="str">
        <f t="shared" si="3"/>
        <v>Leonardo Almeida4</v>
      </c>
      <c r="B28" s="15" t="s">
        <v>30</v>
      </c>
      <c r="C28" s="15" t="s">
        <v>39</v>
      </c>
      <c r="D28" s="16">
        <f>COUNTIF($B$9:B28,B28)</f>
        <v>4</v>
      </c>
    </row>
    <row r="29" spans="1:9" ht="21" x14ac:dyDescent="0.35">
      <c r="A29" s="8" t="str">
        <f t="shared" si="3"/>
        <v>Aline Rosa2</v>
      </c>
      <c r="B29" s="15" t="s">
        <v>40</v>
      </c>
      <c r="C29" s="15" t="s">
        <v>41</v>
      </c>
      <c r="D29" s="16">
        <f>COUNTIF($B$9:B29,B29)</f>
        <v>2</v>
      </c>
    </row>
    <row r="30" spans="1:9" ht="21" x14ac:dyDescent="0.35">
      <c r="A30" s="8" t="str">
        <f t="shared" si="3"/>
        <v>Leonardo Almeida5</v>
      </c>
      <c r="B30" s="15" t="s">
        <v>30</v>
      </c>
      <c r="C30" s="15" t="s">
        <v>42</v>
      </c>
      <c r="D30" s="16">
        <f>COUNTIF($B$9:B30,B30)</f>
        <v>5</v>
      </c>
    </row>
    <row r="31" spans="1:9" ht="21" x14ac:dyDescent="0.35">
      <c r="A31" s="8" t="str">
        <f t="shared" si="3"/>
        <v>Eliane Moreira6</v>
      </c>
      <c r="B31" s="15" t="s">
        <v>32</v>
      </c>
      <c r="C31" s="15" t="s">
        <v>43</v>
      </c>
      <c r="D31" s="16">
        <f>COUNTIF($B$9:B31,B31)</f>
        <v>6</v>
      </c>
    </row>
    <row r="32" spans="1:9" ht="21" x14ac:dyDescent="0.35">
      <c r="A32" s="8" t="str">
        <f t="shared" si="3"/>
        <v>Nicolas Pereira5</v>
      </c>
      <c r="B32" s="15" t="s">
        <v>34</v>
      </c>
      <c r="C32" s="15" t="s">
        <v>44</v>
      </c>
      <c r="D32" s="16">
        <f>COUNTIF($B$9:B32,B32)</f>
        <v>5</v>
      </c>
    </row>
    <row r="33" spans="1:4" ht="21" x14ac:dyDescent="0.35">
      <c r="A33" s="8" t="str">
        <f t="shared" si="3"/>
        <v>Amanda Martins4</v>
      </c>
      <c r="B33" s="15" t="s">
        <v>36</v>
      </c>
      <c r="C33" s="15" t="s">
        <v>45</v>
      </c>
      <c r="D33" s="16">
        <f>COUNTIF($B$9:B33,B33)</f>
        <v>4</v>
      </c>
    </row>
    <row r="34" spans="1:4" ht="21" x14ac:dyDescent="0.35">
      <c r="A34" s="8" t="str">
        <f t="shared" si="3"/>
        <v>Eliane Moreira7</v>
      </c>
      <c r="B34" s="15" t="s">
        <v>32</v>
      </c>
      <c r="C34" s="15" t="s">
        <v>46</v>
      </c>
      <c r="D34" s="16">
        <f>COUNTIF($B$9:B34,B34)</f>
        <v>7</v>
      </c>
    </row>
    <row r="35" spans="1:4" ht="21" x14ac:dyDescent="0.35">
      <c r="A35" s="8" t="str">
        <f t="shared" si="3"/>
        <v>Nicolas Pereira6</v>
      </c>
      <c r="B35" s="15" t="s">
        <v>34</v>
      </c>
      <c r="C35" s="15" t="s">
        <v>47</v>
      </c>
      <c r="D35" s="16">
        <f>COUNTIF($B$9:B35,B35)</f>
        <v>6</v>
      </c>
    </row>
    <row r="36" spans="1:4" ht="21" x14ac:dyDescent="0.35">
      <c r="A36" s="8" t="str">
        <f t="shared" si="3"/>
        <v>Amanda Martins5</v>
      </c>
      <c r="B36" s="15" t="s">
        <v>36</v>
      </c>
      <c r="C36" s="15" t="s">
        <v>48</v>
      </c>
      <c r="D36" s="16">
        <f>COUNTIF($B$9:B36,B36)</f>
        <v>5</v>
      </c>
    </row>
    <row r="37" spans="1:4" ht="21" x14ac:dyDescent="0.35">
      <c r="A37" s="8" t="str">
        <f t="shared" si="3"/>
        <v>Angela Maria2</v>
      </c>
      <c r="B37" s="15" t="s">
        <v>51</v>
      </c>
      <c r="C37" s="15" t="s">
        <v>44</v>
      </c>
      <c r="D37" s="16">
        <f>COUNTIF($B$9:B37,B37)</f>
        <v>2</v>
      </c>
    </row>
    <row r="38" spans="1:4" ht="21" x14ac:dyDescent="0.35">
      <c r="A38" s="8" t="str">
        <f t="shared" si="3"/>
        <v>Angela Maria3</v>
      </c>
      <c r="B38" s="15" t="s">
        <v>51</v>
      </c>
      <c r="C38" s="15" t="s">
        <v>45</v>
      </c>
      <c r="D38" s="16">
        <f>COUNTIF($B$9:B38,B38)</f>
        <v>3</v>
      </c>
    </row>
    <row r="39" spans="1:4" ht="21" x14ac:dyDescent="0.35">
      <c r="A39" s="8" t="str">
        <f t="shared" si="3"/>
        <v>Carlos Moreira2</v>
      </c>
      <c r="B39" s="15" t="s">
        <v>52</v>
      </c>
      <c r="C39" s="15" t="s">
        <v>53</v>
      </c>
      <c r="D39" s="16">
        <f>COUNTIF($B$9:B39,B39)</f>
        <v>2</v>
      </c>
    </row>
    <row r="40" spans="1:4" ht="21" x14ac:dyDescent="0.35">
      <c r="A40" s="8" t="str">
        <f t="shared" si="3"/>
        <v>Carlos Moreira3</v>
      </c>
      <c r="B40" s="15" t="s">
        <v>52</v>
      </c>
      <c r="C40" s="15" t="s">
        <v>54</v>
      </c>
      <c r="D40" s="16">
        <f>COUNTIF($B$9:B40,B40)</f>
        <v>3</v>
      </c>
    </row>
    <row r="41" spans="1:4" ht="21" x14ac:dyDescent="0.35">
      <c r="A41" s="8" t="str">
        <f t="shared" si="3"/>
        <v>Aline Rosa3</v>
      </c>
      <c r="B41" s="15" t="s">
        <v>40</v>
      </c>
      <c r="C41" s="15" t="s">
        <v>37</v>
      </c>
      <c r="D41" s="16">
        <f>COUNTIF($B$9:B41,B41)</f>
        <v>3</v>
      </c>
    </row>
    <row r="42" spans="1:4" ht="21" x14ac:dyDescent="0.35">
      <c r="A42" s="8" t="str">
        <f t="shared" si="3"/>
        <v>Aline Rosa4</v>
      </c>
      <c r="B42" s="15" t="s">
        <v>40</v>
      </c>
      <c r="C42" s="15" t="s">
        <v>35</v>
      </c>
      <c r="D42" s="16">
        <f>COUNTIF($B$9:B42,B42)</f>
        <v>4</v>
      </c>
    </row>
    <row r="43" spans="1:4" ht="21" x14ac:dyDescent="0.35">
      <c r="A43" s="8" t="str">
        <f t="shared" si="3"/>
        <v>Aline Rosa5</v>
      </c>
      <c r="B43" s="15" t="s">
        <v>40</v>
      </c>
      <c r="C43" s="15" t="s">
        <v>55</v>
      </c>
      <c r="D43" s="16">
        <f>COUNTIF($B$9:B43,B43)</f>
        <v>5</v>
      </c>
    </row>
    <row r="44" spans="1:4" ht="21" x14ac:dyDescent="0.35">
      <c r="A44" s="8" t="str">
        <f t="shared" si="3"/>
        <v>Paulo Santos2</v>
      </c>
      <c r="B44" s="15" t="s">
        <v>38</v>
      </c>
      <c r="C44" s="15" t="s">
        <v>48</v>
      </c>
      <c r="D44" s="16">
        <f>COUNTIF($B$9:B44,B44)</f>
        <v>2</v>
      </c>
    </row>
    <row r="45" spans="1:4" ht="21" x14ac:dyDescent="0.35">
      <c r="A45" s="8" t="str">
        <f t="shared" si="3"/>
        <v>Paulo Santos3</v>
      </c>
      <c r="B45" s="15" t="s">
        <v>38</v>
      </c>
      <c r="C45" s="15" t="s">
        <v>35</v>
      </c>
      <c r="D45" s="16">
        <f>COUNTIF($B$9:B45,B45)</f>
        <v>3</v>
      </c>
    </row>
  </sheetData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1C1A33-8161-4814-8012-6C650265DD0D}">
          <x14:formula1>
            <xm:f>Dados!$A$2:$A$9</xm:f>
          </x14:formula1>
          <xm:sqref>H5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90B9-A6B1-4B3A-8186-218109438F9B}">
  <dimension ref="A1:A9"/>
  <sheetViews>
    <sheetView workbookViewId="0"/>
  </sheetViews>
  <sheetFormatPr defaultRowHeight="15" x14ac:dyDescent="0.25"/>
  <cols>
    <col min="1" max="1" width="21.7109375" customWidth="1"/>
  </cols>
  <sheetData>
    <row r="1" spans="1:1" ht="18.75" x14ac:dyDescent="0.3">
      <c r="A1" s="4" t="s">
        <v>29</v>
      </c>
    </row>
    <row r="2" spans="1:1" ht="18.75" x14ac:dyDescent="0.3">
      <c r="A2" s="6" t="s">
        <v>40</v>
      </c>
    </row>
    <row r="3" spans="1:1" ht="18.75" x14ac:dyDescent="0.3">
      <c r="A3" s="6" t="s">
        <v>36</v>
      </c>
    </row>
    <row r="4" spans="1:1" ht="18.75" x14ac:dyDescent="0.3">
      <c r="A4" s="6" t="s">
        <v>51</v>
      </c>
    </row>
    <row r="5" spans="1:1" ht="18.75" x14ac:dyDescent="0.3">
      <c r="A5" s="6" t="s">
        <v>52</v>
      </c>
    </row>
    <row r="6" spans="1:1" ht="18.75" x14ac:dyDescent="0.3">
      <c r="A6" s="6" t="s">
        <v>32</v>
      </c>
    </row>
    <row r="7" spans="1:1" ht="18.75" x14ac:dyDescent="0.3">
      <c r="A7" s="6" t="s">
        <v>30</v>
      </c>
    </row>
    <row r="8" spans="1:1" ht="18.75" x14ac:dyDescent="0.3">
      <c r="A8" s="6" t="s">
        <v>34</v>
      </c>
    </row>
    <row r="9" spans="1:1" ht="18.75" x14ac:dyDescent="0.3">
      <c r="A9" s="6" t="s">
        <v>38</v>
      </c>
    </row>
  </sheetData>
  <sortState xmlns:xlrd2="http://schemas.microsoft.com/office/spreadsheetml/2017/richdata2" ref="A2:A9">
    <sortCondition ref="A1:A9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D40-CB8C-4DD9-946F-8A93B90C6160}">
  <dimension ref="A3:F51"/>
  <sheetViews>
    <sheetView showGridLines="0" zoomScale="94" workbookViewId="0">
      <selection activeCell="E14" sqref="E14"/>
    </sheetView>
  </sheetViews>
  <sheetFormatPr defaultRowHeight="15" x14ac:dyDescent="0.25"/>
  <cols>
    <col min="1" max="1" width="27.28515625" customWidth="1"/>
    <col min="2" max="2" width="26.7109375" customWidth="1"/>
    <col min="3" max="3" width="34.28515625" customWidth="1"/>
    <col min="5" max="5" width="47.140625" customWidth="1"/>
    <col min="6" max="6" width="47.85546875" customWidth="1"/>
  </cols>
  <sheetData>
    <row r="3" spans="1:6" ht="36" x14ac:dyDescent="0.55000000000000004">
      <c r="B3" s="19" t="s">
        <v>69</v>
      </c>
    </row>
    <row r="5" spans="1:6" ht="18.75" x14ac:dyDescent="0.3">
      <c r="B5" s="11" t="s">
        <v>70</v>
      </c>
    </row>
    <row r="6" spans="1:6" ht="18.75" x14ac:dyDescent="0.3">
      <c r="B6" s="11" t="s">
        <v>71</v>
      </c>
    </row>
    <row r="7" spans="1:6" ht="18.75" x14ac:dyDescent="0.3">
      <c r="B7" s="11" t="s">
        <v>72</v>
      </c>
    </row>
    <row r="10" spans="1:6" ht="21" x14ac:dyDescent="0.35">
      <c r="A10" s="8"/>
      <c r="E10" s="4" t="s">
        <v>29</v>
      </c>
    </row>
    <row r="11" spans="1:6" ht="21" x14ac:dyDescent="0.35">
      <c r="A11" s="8"/>
      <c r="E11" s="6" t="s">
        <v>38</v>
      </c>
    </row>
    <row r="13" spans="1:6" ht="33.75" x14ac:dyDescent="0.5">
      <c r="E13" s="23" t="s">
        <v>81</v>
      </c>
    </row>
    <row r="14" spans="1:6" ht="18.75" x14ac:dyDescent="0.3">
      <c r="B14" s="4" t="s">
        <v>29</v>
      </c>
      <c r="C14" s="4" t="s">
        <v>28</v>
      </c>
      <c r="E14" s="4" t="s">
        <v>29</v>
      </c>
      <c r="F14" s="4" t="s">
        <v>28</v>
      </c>
    </row>
    <row r="15" spans="1:6" ht="18.75" x14ac:dyDescent="0.3">
      <c r="A15" s="11" t="str">
        <f>B15&amp;COUNTIF($B$15:B15,B15)</f>
        <v>Leonardo Almeida1</v>
      </c>
      <c r="B15" s="6" t="s">
        <v>30</v>
      </c>
      <c r="C15" s="6" t="s">
        <v>31</v>
      </c>
      <c r="E15" s="12" t="str">
        <f>IFERROR(VLOOKUP($E$11&amp;ROW(A1),$A:$C,COLUMN(B1),0),"-")</f>
        <v>Paulo Santos</v>
      </c>
      <c r="F15" s="12" t="str">
        <f t="shared" ref="F15:F23" si="0">IFERROR(VLOOKUP($E$11&amp;ROW(B1),$A:$C,COLUMN(C1),0),"-")</f>
        <v>Camisa Masculina Festa Balada</v>
      </c>
    </row>
    <row r="16" spans="1:6" ht="18.75" x14ac:dyDescent="0.3">
      <c r="A16" s="11" t="str">
        <f>B16&amp;COUNTIF($B$15:B16,B16)</f>
        <v>Eliane Moreira1</v>
      </c>
      <c r="B16" s="6" t="s">
        <v>32</v>
      </c>
      <c r="C16" s="6" t="s">
        <v>33</v>
      </c>
      <c r="E16" s="12" t="str">
        <f t="shared" ref="E16:E23" si="1">IFERROR(VLOOKUP($E$11&amp;ROW(A2),$A:$C,COLUMN(B2),0),"-")</f>
        <v>Paulo Santos</v>
      </c>
      <c r="F16" s="12" t="str">
        <f t="shared" si="0"/>
        <v>Sapato Social</v>
      </c>
    </row>
    <row r="17" spans="1:6" ht="18.75" x14ac:dyDescent="0.3">
      <c r="A17" s="11" t="str">
        <f>B17&amp;COUNTIF($B$15:B17,B17)</f>
        <v>Nicolas Pereira1</v>
      </c>
      <c r="B17" s="6" t="s">
        <v>34</v>
      </c>
      <c r="C17" s="6" t="s">
        <v>35</v>
      </c>
      <c r="E17" s="12" t="str">
        <f t="shared" si="1"/>
        <v>Paulo Santos</v>
      </c>
      <c r="F17" s="12" t="str">
        <f t="shared" si="0"/>
        <v>Camisa Masculina</v>
      </c>
    </row>
    <row r="18" spans="1:6" ht="18.75" x14ac:dyDescent="0.3">
      <c r="A18" s="11" t="str">
        <f>B18&amp;COUNTIF($B$15:B18,B18)</f>
        <v>Amanda Martins1</v>
      </c>
      <c r="B18" s="6" t="s">
        <v>36</v>
      </c>
      <c r="C18" s="6" t="s">
        <v>37</v>
      </c>
      <c r="E18" s="12" t="str">
        <f t="shared" si="1"/>
        <v>-</v>
      </c>
      <c r="F18" s="12" t="str">
        <f t="shared" si="0"/>
        <v>-</v>
      </c>
    </row>
    <row r="19" spans="1:6" ht="18.75" x14ac:dyDescent="0.3">
      <c r="A19" s="11" t="str">
        <f>B19&amp;COUNTIF($B$15:B19,B19)</f>
        <v>Paulo Santos1</v>
      </c>
      <c r="B19" s="6" t="s">
        <v>38</v>
      </c>
      <c r="C19" s="6" t="s">
        <v>39</v>
      </c>
      <c r="E19" s="12" t="str">
        <f t="shared" si="1"/>
        <v>-</v>
      </c>
      <c r="F19" s="12" t="str">
        <f t="shared" si="0"/>
        <v>-</v>
      </c>
    </row>
    <row r="20" spans="1:6" ht="18.75" x14ac:dyDescent="0.3">
      <c r="A20" s="11" t="str">
        <f>B20&amp;COUNTIF($B$15:B20,B20)</f>
        <v>Aline Rosa1</v>
      </c>
      <c r="B20" s="6" t="s">
        <v>40</v>
      </c>
      <c r="C20" s="6" t="s">
        <v>41</v>
      </c>
      <c r="E20" s="12" t="str">
        <f t="shared" si="1"/>
        <v>-</v>
      </c>
      <c r="F20" s="12" t="str">
        <f t="shared" si="0"/>
        <v>-</v>
      </c>
    </row>
    <row r="21" spans="1:6" ht="18.75" x14ac:dyDescent="0.3">
      <c r="A21" s="11" t="str">
        <f>B21&amp;COUNTIF($B$15:B21,B21)</f>
        <v>Leonardo Almeida2</v>
      </c>
      <c r="B21" s="6" t="s">
        <v>30</v>
      </c>
      <c r="C21" s="6" t="s">
        <v>42</v>
      </c>
      <c r="E21" s="12" t="str">
        <f t="shared" si="1"/>
        <v>-</v>
      </c>
      <c r="F21" s="12" t="str">
        <f t="shared" si="0"/>
        <v>-</v>
      </c>
    </row>
    <row r="22" spans="1:6" ht="18.75" x14ac:dyDescent="0.3">
      <c r="A22" s="11" t="str">
        <f>B22&amp;COUNTIF($B$15:B22,B22)</f>
        <v>Eliane Moreira2</v>
      </c>
      <c r="B22" s="6" t="s">
        <v>32</v>
      </c>
      <c r="C22" s="6" t="s">
        <v>43</v>
      </c>
      <c r="E22" s="12" t="str">
        <f t="shared" si="1"/>
        <v>-</v>
      </c>
      <c r="F22" s="12" t="str">
        <f t="shared" si="0"/>
        <v>-</v>
      </c>
    </row>
    <row r="23" spans="1:6" ht="18.75" x14ac:dyDescent="0.3">
      <c r="A23" s="11" t="str">
        <f>B23&amp;COUNTIF($B$15:B23,B23)</f>
        <v>Nicolas Pereira2</v>
      </c>
      <c r="B23" s="6" t="s">
        <v>34</v>
      </c>
      <c r="C23" s="6" t="s">
        <v>44</v>
      </c>
      <c r="E23" s="12" t="str">
        <f t="shared" si="1"/>
        <v>-</v>
      </c>
      <c r="F23" s="12" t="str">
        <f t="shared" si="0"/>
        <v>-</v>
      </c>
    </row>
    <row r="24" spans="1:6" ht="18.75" x14ac:dyDescent="0.3">
      <c r="A24" s="11" t="str">
        <f>B24&amp;COUNTIF($B$15:B24,B24)</f>
        <v>Amanda Martins2</v>
      </c>
      <c r="B24" s="6" t="s">
        <v>36</v>
      </c>
      <c r="C24" s="6" t="s">
        <v>45</v>
      </c>
    </row>
    <row r="25" spans="1:6" ht="18.75" x14ac:dyDescent="0.3">
      <c r="A25" s="11" t="str">
        <f>B25&amp;COUNTIF($B$15:B25,B25)</f>
        <v>Leonardo Almeida3</v>
      </c>
      <c r="B25" s="6" t="s">
        <v>30</v>
      </c>
      <c r="C25" s="6" t="s">
        <v>46</v>
      </c>
    </row>
    <row r="26" spans="1:6" ht="18.75" x14ac:dyDescent="0.3">
      <c r="A26" s="11" t="str">
        <f>B26&amp;COUNTIF($B$15:B26,B26)</f>
        <v>Eliane Moreira3</v>
      </c>
      <c r="B26" s="6" t="s">
        <v>32</v>
      </c>
      <c r="C26" s="6" t="s">
        <v>47</v>
      </c>
    </row>
    <row r="27" spans="1:6" ht="18.75" x14ac:dyDescent="0.3">
      <c r="A27" s="11" t="str">
        <f>B27&amp;COUNTIF($B$15:B27,B27)</f>
        <v>Nicolas Pereira3</v>
      </c>
      <c r="B27" s="6" t="s">
        <v>34</v>
      </c>
      <c r="C27" s="6" t="s">
        <v>48</v>
      </c>
    </row>
    <row r="28" spans="1:6" ht="18.75" x14ac:dyDescent="0.3">
      <c r="A28" s="11" t="str">
        <f>B28&amp;COUNTIF($B$15:B28,B28)</f>
        <v>Amanda Martins3</v>
      </c>
      <c r="B28" s="6" t="s">
        <v>36</v>
      </c>
      <c r="C28" s="6" t="s">
        <v>49</v>
      </c>
    </row>
    <row r="29" spans="1:6" ht="18.75" x14ac:dyDescent="0.3">
      <c r="A29" s="11" t="str">
        <f>B29&amp;COUNTIF($B$15:B29,B29)</f>
        <v>Eliane Moreira4</v>
      </c>
      <c r="B29" s="6" t="s">
        <v>32</v>
      </c>
      <c r="C29" s="6" t="s">
        <v>50</v>
      </c>
    </row>
    <row r="30" spans="1:6" ht="18.75" x14ac:dyDescent="0.3">
      <c r="A30" s="11" t="str">
        <f>B30&amp;COUNTIF($B$15:B30,B30)</f>
        <v>Angela Maria1</v>
      </c>
      <c r="B30" s="6" t="s">
        <v>51</v>
      </c>
      <c r="C30" s="6" t="s">
        <v>31</v>
      </c>
    </row>
    <row r="31" spans="1:6" ht="18.75" x14ac:dyDescent="0.3">
      <c r="A31" s="11" t="str">
        <f>B31&amp;COUNTIF($B$15:B31,B31)</f>
        <v>Carlos Moreira1</v>
      </c>
      <c r="B31" s="6" t="s">
        <v>52</v>
      </c>
      <c r="C31" s="6" t="s">
        <v>33</v>
      </c>
    </row>
    <row r="32" spans="1:6" ht="18.75" x14ac:dyDescent="0.3">
      <c r="A32" s="11" t="str">
        <f>B32&amp;COUNTIF($B$15:B32,B32)</f>
        <v>Eliane Moreira5</v>
      </c>
      <c r="B32" s="6" t="s">
        <v>32</v>
      </c>
      <c r="C32" s="6" t="s">
        <v>35</v>
      </c>
    </row>
    <row r="33" spans="1:3" ht="18.75" x14ac:dyDescent="0.3">
      <c r="A33" s="11" t="str">
        <f>B33&amp;COUNTIF($B$15:B33,B33)</f>
        <v>Nicolas Pereira4</v>
      </c>
      <c r="B33" s="6" t="s">
        <v>34</v>
      </c>
      <c r="C33" s="6" t="s">
        <v>37</v>
      </c>
    </row>
    <row r="34" spans="1:3" ht="18.75" x14ac:dyDescent="0.3">
      <c r="A34" s="11" t="str">
        <f>B34&amp;COUNTIF($B$15:B34,B34)</f>
        <v>Leonardo Almeida4</v>
      </c>
      <c r="B34" s="6" t="s">
        <v>30</v>
      </c>
      <c r="C34" s="6" t="s">
        <v>39</v>
      </c>
    </row>
    <row r="35" spans="1:3" ht="18.75" x14ac:dyDescent="0.3">
      <c r="A35" s="11" t="str">
        <f>B35&amp;COUNTIF($B$15:B35,B35)</f>
        <v>Aline Rosa2</v>
      </c>
      <c r="B35" s="6" t="s">
        <v>40</v>
      </c>
      <c r="C35" s="6" t="s">
        <v>41</v>
      </c>
    </row>
    <row r="36" spans="1:3" ht="18.75" x14ac:dyDescent="0.3">
      <c r="A36" s="11" t="str">
        <f>B36&amp;COUNTIF($B$15:B36,B36)</f>
        <v>Leonardo Almeida5</v>
      </c>
      <c r="B36" s="6" t="s">
        <v>30</v>
      </c>
      <c r="C36" s="6" t="s">
        <v>42</v>
      </c>
    </row>
    <row r="37" spans="1:3" ht="18.75" x14ac:dyDescent="0.3">
      <c r="A37" s="11" t="str">
        <f>B37&amp;COUNTIF($B$15:B37,B37)</f>
        <v>Eliane Moreira6</v>
      </c>
      <c r="B37" s="6" t="s">
        <v>32</v>
      </c>
      <c r="C37" s="6" t="s">
        <v>43</v>
      </c>
    </row>
    <row r="38" spans="1:3" ht="18.75" x14ac:dyDescent="0.3">
      <c r="A38" s="11" t="str">
        <f>B38&amp;COUNTIF($B$15:B38,B38)</f>
        <v>Nicolas Pereira5</v>
      </c>
      <c r="B38" s="6" t="s">
        <v>34</v>
      </c>
      <c r="C38" s="6" t="s">
        <v>44</v>
      </c>
    </row>
    <row r="39" spans="1:3" ht="18.75" x14ac:dyDescent="0.3">
      <c r="A39" s="11" t="str">
        <f>B39&amp;COUNTIF($B$15:B39,B39)</f>
        <v>Amanda Martins4</v>
      </c>
      <c r="B39" s="6" t="s">
        <v>36</v>
      </c>
      <c r="C39" s="6" t="s">
        <v>45</v>
      </c>
    </row>
    <row r="40" spans="1:3" ht="18.75" x14ac:dyDescent="0.3">
      <c r="A40" s="11" t="str">
        <f>B40&amp;COUNTIF($B$15:B40,B40)</f>
        <v>Eliane Moreira7</v>
      </c>
      <c r="B40" s="6" t="s">
        <v>32</v>
      </c>
      <c r="C40" s="6" t="s">
        <v>46</v>
      </c>
    </row>
    <row r="41" spans="1:3" ht="18.75" x14ac:dyDescent="0.3">
      <c r="A41" s="11" t="str">
        <f>B41&amp;COUNTIF($B$15:B41,B41)</f>
        <v>Nicolas Pereira6</v>
      </c>
      <c r="B41" s="6" t="s">
        <v>34</v>
      </c>
      <c r="C41" s="6" t="s">
        <v>47</v>
      </c>
    </row>
    <row r="42" spans="1:3" ht="18.75" x14ac:dyDescent="0.3">
      <c r="A42" s="11" t="str">
        <f>B42&amp;COUNTIF($B$15:B42,B42)</f>
        <v>Amanda Martins5</v>
      </c>
      <c r="B42" s="6" t="s">
        <v>36</v>
      </c>
      <c r="C42" s="6" t="s">
        <v>48</v>
      </c>
    </row>
    <row r="43" spans="1:3" ht="18.75" x14ac:dyDescent="0.3">
      <c r="A43" s="11" t="str">
        <f>B43&amp;COUNTIF($B$15:B43,B43)</f>
        <v>Angela Maria2</v>
      </c>
      <c r="B43" s="6" t="s">
        <v>51</v>
      </c>
      <c r="C43" s="6" t="s">
        <v>44</v>
      </c>
    </row>
    <row r="44" spans="1:3" ht="18.75" x14ac:dyDescent="0.3">
      <c r="A44" s="11" t="str">
        <f>B44&amp;COUNTIF($B$15:B44,B44)</f>
        <v>Angela Maria3</v>
      </c>
      <c r="B44" s="6" t="s">
        <v>51</v>
      </c>
      <c r="C44" s="6" t="s">
        <v>45</v>
      </c>
    </row>
    <row r="45" spans="1:3" ht="18.75" x14ac:dyDescent="0.3">
      <c r="A45" s="11" t="str">
        <f>B45&amp;COUNTIF($B$15:B45,B45)</f>
        <v>Carlos Moreira2</v>
      </c>
      <c r="B45" s="6" t="s">
        <v>52</v>
      </c>
      <c r="C45" s="6" t="s">
        <v>53</v>
      </c>
    </row>
    <row r="46" spans="1:3" ht="18.75" x14ac:dyDescent="0.3">
      <c r="A46" s="11" t="str">
        <f>B46&amp;COUNTIF($B$15:B46,B46)</f>
        <v>Carlos Moreira3</v>
      </c>
      <c r="B46" s="6" t="s">
        <v>52</v>
      </c>
      <c r="C46" s="6" t="s">
        <v>54</v>
      </c>
    </row>
    <row r="47" spans="1:3" ht="18.75" x14ac:dyDescent="0.3">
      <c r="A47" s="11" t="str">
        <f>B47&amp;COUNTIF($B$15:B47,B47)</f>
        <v>Aline Rosa3</v>
      </c>
      <c r="B47" s="6" t="s">
        <v>40</v>
      </c>
      <c r="C47" s="6" t="s">
        <v>37</v>
      </c>
    </row>
    <row r="48" spans="1:3" ht="18.75" x14ac:dyDescent="0.3">
      <c r="A48" s="11" t="str">
        <f>B48&amp;COUNTIF($B$15:B48,B48)</f>
        <v>Aline Rosa4</v>
      </c>
      <c r="B48" s="6" t="s">
        <v>40</v>
      </c>
      <c r="C48" s="6" t="s">
        <v>35</v>
      </c>
    </row>
    <row r="49" spans="1:3" ht="18.75" x14ac:dyDescent="0.3">
      <c r="A49" s="11" t="str">
        <f>B49&amp;COUNTIF($B$15:B49,B49)</f>
        <v>Aline Rosa5</v>
      </c>
      <c r="B49" s="6" t="s">
        <v>40</v>
      </c>
      <c r="C49" s="6" t="s">
        <v>55</v>
      </c>
    </row>
    <row r="50" spans="1:3" ht="18.75" x14ac:dyDescent="0.3">
      <c r="A50" s="11" t="str">
        <f>B50&amp;COUNTIF($B$15:B50,B50)</f>
        <v>Paulo Santos2</v>
      </c>
      <c r="B50" s="6" t="s">
        <v>38</v>
      </c>
      <c r="C50" s="6" t="s">
        <v>48</v>
      </c>
    </row>
    <row r="51" spans="1:3" ht="18.75" x14ac:dyDescent="0.3">
      <c r="A51" s="11" t="str">
        <f>B51&amp;COUNTIF($B$15:B51,B51)</f>
        <v>Paulo Santos3</v>
      </c>
      <c r="B51" s="6" t="s">
        <v>38</v>
      </c>
      <c r="C51" s="6" t="s">
        <v>35</v>
      </c>
    </row>
  </sheetData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00887F-43C7-4747-AD6C-6D39113CD00A}">
          <x14:formula1>
            <xm:f>Dados!$A$2:$A$9</xm:f>
          </x14:formula1>
          <xm:sqref>E11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128D-5A84-4495-83B9-A1AA9E342E10}">
  <dimension ref="A4:G24"/>
  <sheetViews>
    <sheetView showGridLines="0" zoomScale="94" workbookViewId="0">
      <selection activeCell="A8" sqref="A8"/>
    </sheetView>
  </sheetViews>
  <sheetFormatPr defaultRowHeight="15" x14ac:dyDescent="0.25"/>
  <cols>
    <col min="1" max="1" width="39.28515625" customWidth="1"/>
    <col min="2" max="2" width="31.42578125" customWidth="1"/>
    <col min="4" max="4" width="22.7109375" customWidth="1"/>
    <col min="5" max="5" width="35.42578125" customWidth="1"/>
    <col min="6" max="6" width="33.140625" bestFit="1" customWidth="1"/>
    <col min="7" max="7" width="8.7109375" bestFit="1" customWidth="1"/>
  </cols>
  <sheetData>
    <row r="4" spans="1:7" ht="19.5" customHeight="1" x14ac:dyDescent="0.35">
      <c r="B4" s="8"/>
      <c r="D4" s="8" t="s">
        <v>76</v>
      </c>
    </row>
    <row r="5" spans="1:7" ht="21" x14ac:dyDescent="0.35">
      <c r="D5" s="8" t="s">
        <v>77</v>
      </c>
    </row>
    <row r="6" spans="1:7" ht="36" x14ac:dyDescent="0.55000000000000004">
      <c r="D6" s="24" t="s">
        <v>82</v>
      </c>
    </row>
    <row r="8" spans="1:7" ht="18.75" x14ac:dyDescent="0.3">
      <c r="A8" s="4" t="s">
        <v>29</v>
      </c>
      <c r="B8" s="4" t="s">
        <v>28</v>
      </c>
      <c r="D8" s="4" t="s">
        <v>29</v>
      </c>
      <c r="E8" s="4" t="s">
        <v>12</v>
      </c>
      <c r="F8" s="4" t="s">
        <v>28</v>
      </c>
    </row>
    <row r="9" spans="1:7" ht="18.75" x14ac:dyDescent="0.3">
      <c r="A9" s="6" t="s">
        <v>59</v>
      </c>
      <c r="B9" s="6" t="s">
        <v>31</v>
      </c>
      <c r="D9" s="6" t="s">
        <v>30</v>
      </c>
      <c r="E9" s="12" t="str">
        <f>VLOOKUP(D9,$A$18:$B$24,2,0)</f>
        <v>BR5083-Leonardo Almeida</v>
      </c>
      <c r="F9" s="12" t="str">
        <f>VLOOKUP(VLOOKUP(D9,$A$18:$B$24,2,0),$A$8:$B$14,2,0)</f>
        <v>Tênis Feminino</v>
      </c>
    </row>
    <row r="10" spans="1:7" ht="18.75" x14ac:dyDescent="0.3">
      <c r="A10" s="6" t="s">
        <v>60</v>
      </c>
      <c r="B10" s="6" t="s">
        <v>33</v>
      </c>
      <c r="D10" s="6" t="s">
        <v>32</v>
      </c>
      <c r="E10" s="12" t="str">
        <f t="shared" ref="E10:E14" si="0">VLOOKUP(D10,$A$18:$B$24,2,0)</f>
        <v>BR9054-Eliane Moreira</v>
      </c>
      <c r="F10" s="12" t="str">
        <f>VLOOKUP(VLOOKUP(D10,$A$18:$B$24,2,0),$A$8:$B$14,2,0)</f>
        <v>Calça Feminina Jogger</v>
      </c>
      <c r="G10" s="10"/>
    </row>
    <row r="11" spans="1:7" ht="18.75" x14ac:dyDescent="0.3">
      <c r="A11" s="6" t="s">
        <v>61</v>
      </c>
      <c r="B11" s="6" t="s">
        <v>35</v>
      </c>
      <c r="D11" s="6" t="s">
        <v>34</v>
      </c>
      <c r="E11" s="12" t="str">
        <f t="shared" si="0"/>
        <v>BR8828-Nicolas Pereira</v>
      </c>
      <c r="F11" s="12" t="str">
        <f t="shared" ref="F11:F14" si="1">VLOOKUP(VLOOKUP(D11,$A$18:$B$24,2,0),$A$8:$B$14,2,0)</f>
        <v>Camisa Masculina</v>
      </c>
      <c r="G11" s="10"/>
    </row>
    <row r="12" spans="1:7" ht="18.75" x14ac:dyDescent="0.3">
      <c r="A12" s="6" t="s">
        <v>62</v>
      </c>
      <c r="B12" s="6" t="s">
        <v>37</v>
      </c>
      <c r="D12" s="6" t="s">
        <v>36</v>
      </c>
      <c r="E12" s="12" t="str">
        <f t="shared" si="0"/>
        <v>BR9117-Amanda Martins</v>
      </c>
      <c r="F12" s="12" t="str">
        <f t="shared" si="1"/>
        <v>Bermuda Masculino</v>
      </c>
      <c r="G12" s="10"/>
    </row>
    <row r="13" spans="1:7" ht="18.75" x14ac:dyDescent="0.3">
      <c r="A13" s="6" t="s">
        <v>63</v>
      </c>
      <c r="B13" s="6" t="s">
        <v>39</v>
      </c>
      <c r="D13" s="6" t="s">
        <v>38</v>
      </c>
      <c r="E13" s="12" t="str">
        <f t="shared" si="0"/>
        <v>BR7712-Paulo Santos</v>
      </c>
      <c r="F13" s="12" t="str">
        <f t="shared" si="1"/>
        <v>Camisa Masculina Festa Balada</v>
      </c>
      <c r="G13" s="10"/>
    </row>
    <row r="14" spans="1:7" ht="18.75" x14ac:dyDescent="0.3">
      <c r="A14" s="6" t="s">
        <v>64</v>
      </c>
      <c r="B14" s="6" t="s">
        <v>41</v>
      </c>
      <c r="D14" s="6" t="s">
        <v>40</v>
      </c>
      <c r="E14" s="12" t="str">
        <f t="shared" si="0"/>
        <v>BR8853-Aline Rosa</v>
      </c>
      <c r="F14" s="12" t="str">
        <f t="shared" si="1"/>
        <v>Bota Masculina</v>
      </c>
      <c r="G14" s="10"/>
    </row>
    <row r="16" spans="1:7" ht="18.75" x14ac:dyDescent="0.3">
      <c r="D16" s="11" t="s">
        <v>65</v>
      </c>
    </row>
    <row r="17" spans="1:5" ht="21" x14ac:dyDescent="0.35">
      <c r="D17" s="8" t="s">
        <v>78</v>
      </c>
    </row>
    <row r="18" spans="1:5" ht="18.75" x14ac:dyDescent="0.3">
      <c r="A18" s="4" t="s">
        <v>29</v>
      </c>
      <c r="B18" s="4" t="s">
        <v>29</v>
      </c>
      <c r="D18" s="4" t="s">
        <v>29</v>
      </c>
      <c r="E18" s="4" t="s">
        <v>28</v>
      </c>
    </row>
    <row r="19" spans="1:5" ht="36" x14ac:dyDescent="0.55000000000000004">
      <c r="A19" s="6" t="s">
        <v>30</v>
      </c>
      <c r="B19" s="6" t="s">
        <v>59</v>
      </c>
      <c r="D19" s="6" t="s">
        <v>30</v>
      </c>
      <c r="E19" s="22" t="str">
        <f>VLOOKUP("*"&amp;D19&amp;"*",$A$8:$B$14,2,0)</f>
        <v>Tênis Feminino</v>
      </c>
    </row>
    <row r="20" spans="1:5" ht="36" x14ac:dyDescent="0.55000000000000004">
      <c r="A20" s="6" t="s">
        <v>32</v>
      </c>
      <c r="B20" s="6" t="s">
        <v>60</v>
      </c>
      <c r="D20" s="6" t="s">
        <v>32</v>
      </c>
      <c r="E20" s="22" t="str">
        <f>VLOOKUP("*"&amp;D20,$A$8:$B$14,2,0)</f>
        <v>Calça Feminina Jogger</v>
      </c>
    </row>
    <row r="21" spans="1:5" ht="36" x14ac:dyDescent="0.55000000000000004">
      <c r="A21" s="6" t="s">
        <v>34</v>
      </c>
      <c r="B21" s="6" t="s">
        <v>61</v>
      </c>
      <c r="D21" s="6" t="s">
        <v>34</v>
      </c>
      <c r="E21" s="22" t="str">
        <f>VLOOKUP("*"&amp;D21,$A$8:$B$14,2,0)</f>
        <v>Camisa Masculina</v>
      </c>
    </row>
    <row r="22" spans="1:5" ht="36" x14ac:dyDescent="0.55000000000000004">
      <c r="A22" s="6" t="s">
        <v>36</v>
      </c>
      <c r="B22" s="6" t="s">
        <v>62</v>
      </c>
      <c r="D22" s="6" t="s">
        <v>36</v>
      </c>
      <c r="E22" s="22" t="str">
        <f t="shared" ref="E22:E24" si="2">VLOOKUP("*"&amp;D22,$A$8:$B$14,2,0)</f>
        <v>Bermuda Masculino</v>
      </c>
    </row>
    <row r="23" spans="1:5" ht="36" x14ac:dyDescent="0.55000000000000004">
      <c r="A23" s="6" t="s">
        <v>38</v>
      </c>
      <c r="B23" s="6" t="s">
        <v>63</v>
      </c>
      <c r="D23" s="6" t="s">
        <v>38</v>
      </c>
      <c r="E23" s="22" t="str">
        <f t="shared" si="2"/>
        <v>Camisa Masculina Festa Balada</v>
      </c>
    </row>
    <row r="24" spans="1:5" ht="36" x14ac:dyDescent="0.55000000000000004">
      <c r="A24" s="6" t="s">
        <v>40</v>
      </c>
      <c r="B24" s="6" t="s">
        <v>64</v>
      </c>
      <c r="D24" s="6" t="s">
        <v>40</v>
      </c>
      <c r="E24" s="22" t="str">
        <f t="shared" si="2"/>
        <v>Bota Masculina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740B-C608-490C-829B-0C34B9612C57}">
  <dimension ref="B2:H20"/>
  <sheetViews>
    <sheetView showGridLines="0" zoomScale="94" workbookViewId="0">
      <selection activeCell="G9" sqref="G9"/>
    </sheetView>
  </sheetViews>
  <sheetFormatPr defaultRowHeight="15" x14ac:dyDescent="0.25"/>
  <cols>
    <col min="1" max="1" width="6" customWidth="1"/>
    <col min="2" max="2" width="24.28515625" customWidth="1"/>
    <col min="3" max="3" width="27.28515625" customWidth="1"/>
    <col min="4" max="4" width="20.7109375" style="1" customWidth="1"/>
    <col min="6" max="6" width="21.42578125" customWidth="1"/>
    <col min="7" max="7" width="27.28515625" customWidth="1"/>
    <col min="8" max="8" width="16.7109375" customWidth="1"/>
  </cols>
  <sheetData>
    <row r="2" spans="2:8" ht="92.25" x14ac:dyDescent="1.35">
      <c r="B2" s="3" t="s">
        <v>26</v>
      </c>
      <c r="C2" s="2"/>
      <c r="D2" s="2"/>
      <c r="E2" s="2"/>
      <c r="F2" s="2"/>
      <c r="G2" s="2"/>
      <c r="H2" s="2"/>
    </row>
    <row r="5" spans="2:8" ht="21" x14ac:dyDescent="0.35">
      <c r="C5" s="8" t="s">
        <v>73</v>
      </c>
    </row>
    <row r="8" spans="2:8" ht="18.75" x14ac:dyDescent="0.3">
      <c r="B8" s="4" t="s">
        <v>13</v>
      </c>
      <c r="C8" s="4" t="s">
        <v>12</v>
      </c>
      <c r="D8" s="5" t="s">
        <v>27</v>
      </c>
      <c r="F8" s="4" t="s">
        <v>13</v>
      </c>
      <c r="G8" s="4" t="s">
        <v>12</v>
      </c>
      <c r="H8" s="5" t="s">
        <v>27</v>
      </c>
    </row>
    <row r="9" spans="2:8" ht="18.75" x14ac:dyDescent="0.3">
      <c r="B9" s="6" t="s">
        <v>14</v>
      </c>
      <c r="C9" s="6" t="s">
        <v>0</v>
      </c>
      <c r="D9" s="7">
        <v>2000</v>
      </c>
      <c r="F9" s="6" t="s">
        <v>14</v>
      </c>
      <c r="G9" s="12" t="str">
        <f>VLOOKUP(F9,$B$9:$D$20,2,0)</f>
        <v>Bruna Alves</v>
      </c>
      <c r="H9" s="13">
        <f>VLOOKUP(F9,$B$9:$D$20,3,0)</f>
        <v>2000</v>
      </c>
    </row>
    <row r="10" spans="2:8" ht="18.75" x14ac:dyDescent="0.3">
      <c r="B10" s="6" t="s">
        <v>15</v>
      </c>
      <c r="C10" s="6" t="s">
        <v>1</v>
      </c>
      <c r="D10" s="7">
        <v>2500</v>
      </c>
      <c r="F10" s="6" t="s">
        <v>15</v>
      </c>
      <c r="G10" s="12" t="str">
        <f t="shared" ref="G10:G20" si="0">VLOOKUP(F10,$B$9:$D$20,2,0)</f>
        <v>Afonso Alves</v>
      </c>
      <c r="H10" s="13">
        <f t="shared" ref="H10:H20" si="1">VLOOKUP(F10,$B$9:$D$20,3,0)</f>
        <v>2500</v>
      </c>
    </row>
    <row r="11" spans="2:8" ht="18.75" x14ac:dyDescent="0.3">
      <c r="B11" s="6" t="s">
        <v>16</v>
      </c>
      <c r="C11" s="6" t="s">
        <v>2</v>
      </c>
      <c r="D11" s="7">
        <v>3000</v>
      </c>
      <c r="F11" s="6" t="s">
        <v>16</v>
      </c>
      <c r="G11" s="12" t="str">
        <f t="shared" si="0"/>
        <v>Caroline Gois Abreu</v>
      </c>
      <c r="H11" s="13">
        <f t="shared" si="1"/>
        <v>3000</v>
      </c>
    </row>
    <row r="12" spans="2:8" ht="18.75" x14ac:dyDescent="0.3">
      <c r="B12" s="6" t="s">
        <v>17</v>
      </c>
      <c r="C12" s="6" t="s">
        <v>3</v>
      </c>
      <c r="D12" s="7">
        <v>3000</v>
      </c>
      <c r="F12" s="6" t="s">
        <v>17</v>
      </c>
      <c r="G12" s="12" t="str">
        <f t="shared" si="0"/>
        <v>Henrique Oliveira Silva</v>
      </c>
      <c r="H12" s="13">
        <f t="shared" si="1"/>
        <v>3000</v>
      </c>
    </row>
    <row r="13" spans="2:8" ht="18.75" x14ac:dyDescent="0.3">
      <c r="B13" s="6" t="s">
        <v>18</v>
      </c>
      <c r="C13" s="6" t="s">
        <v>4</v>
      </c>
      <c r="D13" s="7">
        <v>2000</v>
      </c>
      <c r="F13" s="6" t="s">
        <v>18</v>
      </c>
      <c r="G13" s="12" t="str">
        <f t="shared" si="0"/>
        <v>Kaliane Almeida Abreu</v>
      </c>
      <c r="H13" s="13">
        <f t="shared" si="1"/>
        <v>2000</v>
      </c>
    </row>
    <row r="14" spans="2:8" ht="18.75" x14ac:dyDescent="0.3">
      <c r="B14" s="6" t="s">
        <v>19</v>
      </c>
      <c r="C14" s="6" t="s">
        <v>5</v>
      </c>
      <c r="D14" s="7">
        <v>2000</v>
      </c>
      <c r="F14" s="6" t="s">
        <v>19</v>
      </c>
      <c r="G14" s="12" t="str">
        <f t="shared" si="0"/>
        <v>Ryan Merryman</v>
      </c>
      <c r="H14" s="13">
        <f t="shared" si="1"/>
        <v>2000</v>
      </c>
    </row>
    <row r="15" spans="2:8" ht="18.75" x14ac:dyDescent="0.3">
      <c r="B15" s="6" t="s">
        <v>20</v>
      </c>
      <c r="C15" s="6" t="s">
        <v>6</v>
      </c>
      <c r="D15" s="7">
        <v>2000</v>
      </c>
      <c r="F15" s="6" t="s">
        <v>20</v>
      </c>
      <c r="G15" s="12" t="str">
        <f t="shared" si="0"/>
        <v>Robson Martins</v>
      </c>
      <c r="H15" s="13">
        <f t="shared" si="1"/>
        <v>2000</v>
      </c>
    </row>
    <row r="16" spans="2:8" ht="18.75" x14ac:dyDescent="0.3">
      <c r="B16" s="6" t="s">
        <v>21</v>
      </c>
      <c r="C16" s="6" t="s">
        <v>7</v>
      </c>
      <c r="D16" s="7">
        <v>5000</v>
      </c>
      <c r="F16" s="6" t="s">
        <v>21</v>
      </c>
      <c r="G16" s="12" t="str">
        <f t="shared" si="0"/>
        <v>Thiago Santana Gomes</v>
      </c>
      <c r="H16" s="13">
        <f t="shared" si="1"/>
        <v>5000</v>
      </c>
    </row>
    <row r="17" spans="2:8" ht="18.75" x14ac:dyDescent="0.3">
      <c r="B17" s="6" t="s">
        <v>22</v>
      </c>
      <c r="C17" s="6" t="s">
        <v>8</v>
      </c>
      <c r="D17" s="7">
        <v>5000</v>
      </c>
      <c r="F17" s="6" t="s">
        <v>22</v>
      </c>
      <c r="G17" s="12" t="str">
        <f t="shared" si="0"/>
        <v>Erika Souza Aguiar</v>
      </c>
      <c r="H17" s="13">
        <f t="shared" si="1"/>
        <v>5000</v>
      </c>
    </row>
    <row r="18" spans="2:8" ht="18.75" x14ac:dyDescent="0.3">
      <c r="B18" s="6" t="s">
        <v>23</v>
      </c>
      <c r="C18" s="6" t="s">
        <v>9</v>
      </c>
      <c r="D18" s="7">
        <v>5000</v>
      </c>
      <c r="F18" s="6" t="s">
        <v>23</v>
      </c>
      <c r="G18" s="12" t="str">
        <f t="shared" si="0"/>
        <v>Felipe Borges Aguiar</v>
      </c>
      <c r="H18" s="13">
        <f t="shared" si="1"/>
        <v>5000</v>
      </c>
    </row>
    <row r="19" spans="2:8" ht="18.75" x14ac:dyDescent="0.3">
      <c r="B19" s="6" t="s">
        <v>24</v>
      </c>
      <c r="C19" s="6" t="s">
        <v>10</v>
      </c>
      <c r="D19" s="7">
        <v>4000</v>
      </c>
      <c r="F19" s="6" t="s">
        <v>24</v>
      </c>
      <c r="G19" s="12" t="str">
        <f t="shared" si="0"/>
        <v>Tiago de Oliveira</v>
      </c>
      <c r="H19" s="13">
        <f t="shared" si="1"/>
        <v>4000</v>
      </c>
    </row>
    <row r="20" spans="2:8" ht="18.75" x14ac:dyDescent="0.3">
      <c r="B20" s="6" t="s">
        <v>25</v>
      </c>
      <c r="C20" s="6" t="s">
        <v>11</v>
      </c>
      <c r="D20" s="7">
        <v>4000</v>
      </c>
      <c r="F20" s="6" t="s">
        <v>25</v>
      </c>
      <c r="G20" s="12" t="str">
        <f t="shared" si="0"/>
        <v>Frederico Rubens</v>
      </c>
      <c r="H20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DA71-ACA5-4047-B076-8F6C0978D828}">
  <dimension ref="A2:G17"/>
  <sheetViews>
    <sheetView showGridLines="0" zoomScale="94" workbookViewId="0">
      <selection activeCell="F6" sqref="F6"/>
    </sheetView>
  </sheetViews>
  <sheetFormatPr defaultRowHeight="15" x14ac:dyDescent="0.25"/>
  <cols>
    <col min="1" max="1" width="22.7109375" customWidth="1"/>
    <col min="2" max="2" width="31.42578125" customWidth="1"/>
    <col min="3" max="3" width="22.42578125" customWidth="1"/>
    <col min="5" max="5" width="22.7109375" customWidth="1"/>
    <col min="6" max="6" width="31.42578125" customWidth="1"/>
    <col min="7" max="7" width="22.42578125" customWidth="1"/>
  </cols>
  <sheetData>
    <row r="2" spans="1:7" ht="21" x14ac:dyDescent="0.35">
      <c r="A2" s="8" t="s">
        <v>74</v>
      </c>
    </row>
    <row r="5" spans="1:7" ht="18.75" x14ac:dyDescent="0.3">
      <c r="A5" s="4" t="s">
        <v>13</v>
      </c>
      <c r="B5" s="4" t="s">
        <v>12</v>
      </c>
      <c r="C5" s="5" t="s">
        <v>27</v>
      </c>
      <c r="E5" s="4" t="s">
        <v>13</v>
      </c>
      <c r="F5" s="4" t="s">
        <v>12</v>
      </c>
      <c r="G5" s="5" t="s">
        <v>27</v>
      </c>
    </row>
    <row r="6" spans="1:7" ht="18.75" x14ac:dyDescent="0.3">
      <c r="A6" s="6" t="s">
        <v>14</v>
      </c>
      <c r="B6" s="6" t="s">
        <v>0</v>
      </c>
      <c r="C6" s="7">
        <v>2000</v>
      </c>
      <c r="E6" s="6" t="s">
        <v>14</v>
      </c>
      <c r="F6" s="12" t="str">
        <f>VLOOKUP(E6,A6:C17,2,0)</f>
        <v>Bruna Alves</v>
      </c>
      <c r="G6" s="13">
        <f>VLOOKUP(E6,A6:C17,3,0)</f>
        <v>2000</v>
      </c>
    </row>
    <row r="7" spans="1:7" ht="18.75" x14ac:dyDescent="0.3">
      <c r="A7" s="6" t="s">
        <v>15</v>
      </c>
      <c r="B7" s="6" t="s">
        <v>1</v>
      </c>
      <c r="C7" s="7">
        <v>2500</v>
      </c>
      <c r="E7" s="6" t="s">
        <v>15</v>
      </c>
      <c r="F7" s="12" t="str">
        <f t="shared" ref="F7:F17" si="0">VLOOKUP(E7,A7:C18,2,0)</f>
        <v>Afonso Alves</v>
      </c>
      <c r="G7" s="13">
        <f t="shared" ref="G7:G17" si="1">VLOOKUP(E7,A7:C18,3,0)</f>
        <v>2500</v>
      </c>
    </row>
    <row r="8" spans="1:7" ht="18.75" x14ac:dyDescent="0.3">
      <c r="A8" s="6" t="s">
        <v>16</v>
      </c>
      <c r="B8" s="6" t="s">
        <v>2</v>
      </c>
      <c r="C8" s="7">
        <v>3000</v>
      </c>
      <c r="E8" s="6" t="s">
        <v>16</v>
      </c>
      <c r="F8" s="12" t="str">
        <f t="shared" si="0"/>
        <v>Caroline Gois Abreu</v>
      </c>
      <c r="G8" s="13">
        <f t="shared" si="1"/>
        <v>3000</v>
      </c>
    </row>
    <row r="9" spans="1:7" ht="18.75" x14ac:dyDescent="0.3">
      <c r="A9" s="6" t="s">
        <v>17</v>
      </c>
      <c r="B9" s="6" t="s">
        <v>3</v>
      </c>
      <c r="C9" s="7">
        <v>3000</v>
      </c>
      <c r="E9" s="6" t="s">
        <v>17</v>
      </c>
      <c r="F9" s="12" t="str">
        <f t="shared" si="0"/>
        <v>Henrique Oliveira Silva</v>
      </c>
      <c r="G9" s="13">
        <f t="shared" si="1"/>
        <v>3000</v>
      </c>
    </row>
    <row r="10" spans="1:7" ht="18.75" x14ac:dyDescent="0.3">
      <c r="A10" s="6" t="s">
        <v>18</v>
      </c>
      <c r="B10" s="6" t="s">
        <v>4</v>
      </c>
      <c r="C10" s="7">
        <v>2000</v>
      </c>
      <c r="E10" s="6" t="s">
        <v>18</v>
      </c>
      <c r="F10" s="12" t="str">
        <f t="shared" si="0"/>
        <v>Kaliane Almeida Abreu</v>
      </c>
      <c r="G10" s="13">
        <f t="shared" si="1"/>
        <v>2000</v>
      </c>
    </row>
    <row r="11" spans="1:7" ht="18.75" x14ac:dyDescent="0.3">
      <c r="A11" s="6" t="s">
        <v>19</v>
      </c>
      <c r="B11" s="6" t="s">
        <v>5</v>
      </c>
      <c r="C11" s="7">
        <v>2000</v>
      </c>
      <c r="E11" s="6" t="s">
        <v>19</v>
      </c>
      <c r="F11" s="12" t="str">
        <f t="shared" si="0"/>
        <v>Ryan Merryman</v>
      </c>
      <c r="G11" s="13">
        <f t="shared" si="1"/>
        <v>2000</v>
      </c>
    </row>
    <row r="12" spans="1:7" ht="18.75" x14ac:dyDescent="0.3">
      <c r="A12" s="6" t="s">
        <v>20</v>
      </c>
      <c r="B12" s="6" t="s">
        <v>6</v>
      </c>
      <c r="C12" s="7">
        <v>2000</v>
      </c>
      <c r="E12" s="6" t="s">
        <v>20</v>
      </c>
      <c r="F12" s="12" t="str">
        <f t="shared" si="0"/>
        <v>Robson Martins</v>
      </c>
      <c r="G12" s="13">
        <f t="shared" si="1"/>
        <v>2000</v>
      </c>
    </row>
    <row r="13" spans="1:7" ht="18.75" x14ac:dyDescent="0.3">
      <c r="A13" s="6" t="s">
        <v>21</v>
      </c>
      <c r="B13" s="6" t="s">
        <v>7</v>
      </c>
      <c r="C13" s="7">
        <v>5000</v>
      </c>
      <c r="E13" s="6" t="s">
        <v>21</v>
      </c>
      <c r="F13" s="12" t="str">
        <f t="shared" si="0"/>
        <v>Thiago Santana Gomes</v>
      </c>
      <c r="G13" s="13">
        <f t="shared" si="1"/>
        <v>5000</v>
      </c>
    </row>
    <row r="14" spans="1:7" ht="18.75" x14ac:dyDescent="0.3">
      <c r="A14" s="6" t="s">
        <v>22</v>
      </c>
      <c r="B14" s="6" t="s">
        <v>8</v>
      </c>
      <c r="C14" s="7">
        <v>5000</v>
      </c>
      <c r="E14" s="6" t="s">
        <v>22</v>
      </c>
      <c r="F14" s="12" t="str">
        <f t="shared" si="0"/>
        <v>Erika Souza Aguiar</v>
      </c>
      <c r="G14" s="13">
        <f t="shared" si="1"/>
        <v>5000</v>
      </c>
    </row>
    <row r="15" spans="1:7" ht="18.75" x14ac:dyDescent="0.3">
      <c r="A15" s="6" t="s">
        <v>23</v>
      </c>
      <c r="B15" s="6" t="s">
        <v>9</v>
      </c>
      <c r="C15" s="7">
        <v>5000</v>
      </c>
      <c r="E15" s="6" t="s">
        <v>23</v>
      </c>
      <c r="F15" s="12" t="str">
        <f t="shared" si="0"/>
        <v>Felipe Borges Aguiar</v>
      </c>
      <c r="G15" s="13">
        <f t="shared" si="1"/>
        <v>5000</v>
      </c>
    </row>
    <row r="16" spans="1:7" ht="18.75" x14ac:dyDescent="0.3">
      <c r="A16" s="6" t="s">
        <v>24</v>
      </c>
      <c r="B16" s="6" t="s">
        <v>10</v>
      </c>
      <c r="C16" s="7">
        <v>4000</v>
      </c>
      <c r="E16" s="6" t="s">
        <v>24</v>
      </c>
      <c r="F16" s="12" t="str">
        <f t="shared" si="0"/>
        <v>Tiago de Oliveira</v>
      </c>
      <c r="G16" s="13">
        <f t="shared" si="1"/>
        <v>4000</v>
      </c>
    </row>
    <row r="17" spans="1:7" ht="18.75" x14ac:dyDescent="0.3">
      <c r="A17" s="6" t="s">
        <v>25</v>
      </c>
      <c r="B17" s="6" t="s">
        <v>11</v>
      </c>
      <c r="C17" s="7">
        <v>4000</v>
      </c>
      <c r="E17" s="6" t="s">
        <v>25</v>
      </c>
      <c r="F17" s="12" t="str">
        <f t="shared" si="0"/>
        <v>Frederico Rubens</v>
      </c>
      <c r="G17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C66A-4A62-45CD-89A6-C8A8265684C9}">
  <dimension ref="A1:I45"/>
  <sheetViews>
    <sheetView showGridLines="0" topLeftCell="B1" zoomScale="94" workbookViewId="0">
      <selection activeCell="D9" sqref="D9"/>
    </sheetView>
  </sheetViews>
  <sheetFormatPr defaultRowHeight="15" x14ac:dyDescent="0.25"/>
  <cols>
    <col min="1" max="1" width="26.5703125" bestFit="1" customWidth="1"/>
    <col min="2" max="2" width="22.7109375" customWidth="1"/>
    <col min="3" max="3" width="31.42578125" customWidth="1"/>
    <col min="4" max="4" width="8.7109375" bestFit="1" customWidth="1"/>
    <col min="7" max="7" width="26.28515625" customWidth="1"/>
    <col min="8" max="8" width="30.42578125" customWidth="1"/>
    <col min="9" max="9" width="42.28515625" customWidth="1"/>
  </cols>
  <sheetData>
    <row r="1" spans="1:9" ht="28.5" x14ac:dyDescent="0.45">
      <c r="H1" s="14" t="s">
        <v>67</v>
      </c>
    </row>
    <row r="2" spans="1:9" ht="28.5" x14ac:dyDescent="0.45">
      <c r="H2" s="14" t="s">
        <v>68</v>
      </c>
    </row>
    <row r="4" spans="1:9" ht="21" x14ac:dyDescent="0.35">
      <c r="B4" s="8" t="s">
        <v>66</v>
      </c>
      <c r="H4" s="4" t="s">
        <v>29</v>
      </c>
    </row>
    <row r="5" spans="1:9" ht="21" x14ac:dyDescent="0.35">
      <c r="B5" s="8" t="s">
        <v>75</v>
      </c>
      <c r="H5" s="6" t="s">
        <v>51</v>
      </c>
    </row>
    <row r="8" spans="1:9" ht="18.75" x14ac:dyDescent="0.3">
      <c r="A8" t="s">
        <v>79</v>
      </c>
      <c r="B8" s="4" t="s">
        <v>29</v>
      </c>
      <c r="C8" s="4" t="s">
        <v>28</v>
      </c>
      <c r="D8" s="9" t="s">
        <v>56</v>
      </c>
      <c r="F8" s="11" t="s">
        <v>57</v>
      </c>
      <c r="G8" s="11" t="s">
        <v>58</v>
      </c>
      <c r="H8" s="4" t="s">
        <v>29</v>
      </c>
      <c r="I8" s="4" t="s">
        <v>28</v>
      </c>
    </row>
    <row r="9" spans="1:9" ht="21" x14ac:dyDescent="0.35">
      <c r="A9" s="8" t="str">
        <f>B9&amp;D9</f>
        <v>Leonardo Almeida1</v>
      </c>
      <c r="B9" s="15" t="s">
        <v>30</v>
      </c>
      <c r="C9" s="15" t="s">
        <v>31</v>
      </c>
      <c r="D9" s="16">
        <f>COUNTIF($B$9:B9,B9)</f>
        <v>1</v>
      </c>
      <c r="F9" s="8">
        <v>1</v>
      </c>
      <c r="G9" s="17" t="str">
        <f>$H$5&amp;F9</f>
        <v>Angela Maria1</v>
      </c>
      <c r="H9" s="18" t="str">
        <f>IFERROR(VLOOKUP(G9,A:C,2,0),"-")</f>
        <v>Angela Maria</v>
      </c>
      <c r="I9" s="18" t="str">
        <f>IFERROR(VLOOKUP(G9,A:C,3,0),"-")</f>
        <v>Tênis Feminino</v>
      </c>
    </row>
    <row r="10" spans="1:9" ht="21" x14ac:dyDescent="0.35">
      <c r="A10" s="8" t="str">
        <f t="shared" ref="A10:A45" si="0">B10&amp;D10</f>
        <v>Eliane Moreira1</v>
      </c>
      <c r="B10" s="15" t="s">
        <v>32</v>
      </c>
      <c r="C10" s="15" t="s">
        <v>33</v>
      </c>
      <c r="D10" s="16">
        <f>COUNTIF($B$9:B10,B10)</f>
        <v>1</v>
      </c>
      <c r="F10" s="8">
        <v>2</v>
      </c>
      <c r="G10" s="17" t="str">
        <f t="shared" ref="G10:G17" si="1">$H$5&amp;F10</f>
        <v>Angela Maria2</v>
      </c>
      <c r="H10" s="18" t="str">
        <f t="shared" ref="H10:H17" si="2">IFERROR(VLOOKUP(G10,A:C,2,0),"-")</f>
        <v>Angela Maria</v>
      </c>
      <c r="I10" s="18" t="str">
        <f t="shared" ref="I10:I17" si="3">IFERROR(VLOOKUP(G10,A:C,3,0),"-")</f>
        <v>Kit de Pinceis de Maquiagem</v>
      </c>
    </row>
    <row r="11" spans="1:9" ht="21" x14ac:dyDescent="0.35">
      <c r="A11" s="8" t="str">
        <f t="shared" si="0"/>
        <v>Nicolas Pereira1</v>
      </c>
      <c r="B11" s="15" t="s">
        <v>34</v>
      </c>
      <c r="C11" s="15" t="s">
        <v>35</v>
      </c>
      <c r="D11" s="16">
        <f>COUNTIF($B$9:B11,B11)</f>
        <v>1</v>
      </c>
      <c r="F11" s="8">
        <v>3</v>
      </c>
      <c r="G11" s="17" t="str">
        <f t="shared" si="1"/>
        <v>Angela Maria3</v>
      </c>
      <c r="H11" s="18" t="str">
        <f t="shared" si="2"/>
        <v>Angela Maria</v>
      </c>
      <c r="I11" s="18" t="str">
        <f t="shared" si="3"/>
        <v>Vestido Infantil</v>
      </c>
    </row>
    <row r="12" spans="1:9" ht="21" x14ac:dyDescent="0.35">
      <c r="A12" s="8" t="str">
        <f t="shared" si="0"/>
        <v>Amanda Martins1</v>
      </c>
      <c r="B12" s="15" t="s">
        <v>36</v>
      </c>
      <c r="C12" s="15" t="s">
        <v>37</v>
      </c>
      <c r="D12" s="16">
        <f>COUNTIF($B$9:B12,B12)</f>
        <v>1</v>
      </c>
      <c r="F12" s="8">
        <v>4</v>
      </c>
      <c r="G12" s="17" t="str">
        <f t="shared" si="1"/>
        <v>Angela Maria4</v>
      </c>
      <c r="H12" s="18" t="str">
        <f t="shared" si="2"/>
        <v>-</v>
      </c>
      <c r="I12" s="18" t="str">
        <f t="shared" si="3"/>
        <v>-</v>
      </c>
    </row>
    <row r="13" spans="1:9" ht="21" x14ac:dyDescent="0.35">
      <c r="A13" s="8" t="str">
        <f t="shared" si="0"/>
        <v>Paulo Santos1</v>
      </c>
      <c r="B13" s="15" t="s">
        <v>38</v>
      </c>
      <c r="C13" s="15" t="s">
        <v>39</v>
      </c>
      <c r="D13" s="16">
        <f>COUNTIF($B$9:B13,B13)</f>
        <v>1</v>
      </c>
      <c r="F13" s="8">
        <v>5</v>
      </c>
      <c r="G13" s="17" t="str">
        <f t="shared" si="1"/>
        <v>Angela Maria5</v>
      </c>
      <c r="H13" s="18" t="str">
        <f t="shared" si="2"/>
        <v>-</v>
      </c>
      <c r="I13" s="18" t="str">
        <f t="shared" si="3"/>
        <v>-</v>
      </c>
    </row>
    <row r="14" spans="1:9" ht="21" x14ac:dyDescent="0.35">
      <c r="A14" s="8" t="str">
        <f t="shared" si="0"/>
        <v>Aline Rosa1</v>
      </c>
      <c r="B14" s="15" t="s">
        <v>40</v>
      </c>
      <c r="C14" s="15" t="s">
        <v>41</v>
      </c>
      <c r="D14" s="16">
        <f>COUNTIF($B$9:B14,B14)</f>
        <v>1</v>
      </c>
      <c r="F14" s="8">
        <v>6</v>
      </c>
      <c r="G14" s="17" t="str">
        <f t="shared" si="1"/>
        <v>Angela Maria6</v>
      </c>
      <c r="H14" s="18" t="str">
        <f t="shared" si="2"/>
        <v>-</v>
      </c>
      <c r="I14" s="18" t="str">
        <f t="shared" si="3"/>
        <v>-</v>
      </c>
    </row>
    <row r="15" spans="1:9" ht="21" x14ac:dyDescent="0.35">
      <c r="A15" s="8" t="str">
        <f t="shared" si="0"/>
        <v>Leonardo Almeida2</v>
      </c>
      <c r="B15" s="15" t="s">
        <v>30</v>
      </c>
      <c r="C15" s="15" t="s">
        <v>42</v>
      </c>
      <c r="D15" s="16">
        <f>COUNTIF($B$9:B15,B15)</f>
        <v>2</v>
      </c>
      <c r="F15" s="8">
        <v>7</v>
      </c>
      <c r="G15" s="17" t="str">
        <f t="shared" si="1"/>
        <v>Angela Maria7</v>
      </c>
      <c r="H15" s="18" t="str">
        <f t="shared" si="2"/>
        <v>-</v>
      </c>
      <c r="I15" s="18" t="str">
        <f t="shared" si="3"/>
        <v>-</v>
      </c>
    </row>
    <row r="16" spans="1:9" ht="21" x14ac:dyDescent="0.35">
      <c r="A16" s="8" t="str">
        <f t="shared" si="0"/>
        <v>Eliane Moreira2</v>
      </c>
      <c r="B16" s="15" t="s">
        <v>32</v>
      </c>
      <c r="C16" s="15" t="s">
        <v>43</v>
      </c>
      <c r="D16" s="16">
        <f>COUNTIF($B$9:B16,B16)</f>
        <v>2</v>
      </c>
      <c r="F16" s="8">
        <v>8</v>
      </c>
      <c r="G16" s="17" t="str">
        <f t="shared" si="1"/>
        <v>Angela Maria8</v>
      </c>
      <c r="H16" s="18" t="str">
        <f t="shared" si="2"/>
        <v>-</v>
      </c>
      <c r="I16" s="18" t="str">
        <f t="shared" si="3"/>
        <v>-</v>
      </c>
    </row>
    <row r="17" spans="1:9" ht="21" x14ac:dyDescent="0.35">
      <c r="A17" s="8" t="str">
        <f t="shared" si="0"/>
        <v>Nicolas Pereira2</v>
      </c>
      <c r="B17" s="15" t="s">
        <v>34</v>
      </c>
      <c r="C17" s="15" t="s">
        <v>44</v>
      </c>
      <c r="D17" s="16">
        <f>COUNTIF($B$9:B17,B17)</f>
        <v>2</v>
      </c>
      <c r="F17" s="8">
        <v>9</v>
      </c>
      <c r="G17" s="17" t="str">
        <f t="shared" si="1"/>
        <v>Angela Maria9</v>
      </c>
      <c r="H17" s="18" t="str">
        <f t="shared" si="2"/>
        <v>-</v>
      </c>
      <c r="I17" s="18" t="str">
        <f t="shared" si="3"/>
        <v>-</v>
      </c>
    </row>
    <row r="18" spans="1:9" ht="21" x14ac:dyDescent="0.35">
      <c r="A18" s="8" t="str">
        <f t="shared" si="0"/>
        <v>Amanda Martins2</v>
      </c>
      <c r="B18" s="15" t="s">
        <v>36</v>
      </c>
      <c r="C18" s="15" t="s">
        <v>45</v>
      </c>
      <c r="D18" s="16">
        <f>COUNTIF($B$9:B18,B18)</f>
        <v>2</v>
      </c>
    </row>
    <row r="19" spans="1:9" ht="21" x14ac:dyDescent="0.35">
      <c r="A19" s="8" t="str">
        <f t="shared" si="0"/>
        <v>Leonardo Almeida3</v>
      </c>
      <c r="B19" s="15" t="s">
        <v>30</v>
      </c>
      <c r="C19" s="15" t="s">
        <v>46</v>
      </c>
      <c r="D19" s="16">
        <f>COUNTIF($B$9:B19,B19)</f>
        <v>3</v>
      </c>
    </row>
    <row r="20" spans="1:9" ht="21" x14ac:dyDescent="0.35">
      <c r="A20" s="8" t="str">
        <f t="shared" si="0"/>
        <v>Eliane Moreira3</v>
      </c>
      <c r="B20" s="15" t="s">
        <v>32</v>
      </c>
      <c r="C20" s="15" t="s">
        <v>47</v>
      </c>
      <c r="D20" s="16">
        <f>COUNTIF($B$9:B20,B20)</f>
        <v>3</v>
      </c>
    </row>
    <row r="21" spans="1:9" ht="21" x14ac:dyDescent="0.35">
      <c r="A21" s="8" t="str">
        <f t="shared" si="0"/>
        <v>Nicolas Pereira3</v>
      </c>
      <c r="B21" s="15" t="s">
        <v>34</v>
      </c>
      <c r="C21" s="15" t="s">
        <v>48</v>
      </c>
      <c r="D21" s="16">
        <f>COUNTIF($B$9:B21,B21)</f>
        <v>3</v>
      </c>
    </row>
    <row r="22" spans="1:9" ht="21" x14ac:dyDescent="0.35">
      <c r="A22" s="8" t="str">
        <f t="shared" si="0"/>
        <v>Amanda Martins3</v>
      </c>
      <c r="B22" s="15" t="s">
        <v>36</v>
      </c>
      <c r="C22" s="15" t="s">
        <v>49</v>
      </c>
      <c r="D22" s="16">
        <f>COUNTIF($B$9:B22,B22)</f>
        <v>3</v>
      </c>
    </row>
    <row r="23" spans="1:9" ht="21" x14ac:dyDescent="0.35">
      <c r="A23" s="8" t="str">
        <f t="shared" si="0"/>
        <v>Eliane Moreira4</v>
      </c>
      <c r="B23" s="15" t="s">
        <v>32</v>
      </c>
      <c r="C23" s="15" t="s">
        <v>50</v>
      </c>
      <c r="D23" s="16">
        <f>COUNTIF($B$9:B23,B23)</f>
        <v>4</v>
      </c>
    </row>
    <row r="24" spans="1:9" ht="21" x14ac:dyDescent="0.35">
      <c r="A24" s="8" t="str">
        <f t="shared" si="0"/>
        <v>Angela Maria1</v>
      </c>
      <c r="B24" s="15" t="s">
        <v>51</v>
      </c>
      <c r="C24" s="15" t="s">
        <v>31</v>
      </c>
      <c r="D24" s="16">
        <f>COUNTIF($B$9:B24,B24)</f>
        <v>1</v>
      </c>
    </row>
    <row r="25" spans="1:9" ht="21" x14ac:dyDescent="0.35">
      <c r="A25" s="8" t="str">
        <f t="shared" si="0"/>
        <v>Carlos Moreira1</v>
      </c>
      <c r="B25" s="15" t="s">
        <v>52</v>
      </c>
      <c r="C25" s="15" t="s">
        <v>33</v>
      </c>
      <c r="D25" s="16">
        <f>COUNTIF($B$9:B25,B25)</f>
        <v>1</v>
      </c>
    </row>
    <row r="26" spans="1:9" ht="21" x14ac:dyDescent="0.35">
      <c r="A26" s="8" t="str">
        <f t="shared" si="0"/>
        <v>Eliane Moreira5</v>
      </c>
      <c r="B26" s="15" t="s">
        <v>32</v>
      </c>
      <c r="C26" s="15" t="s">
        <v>35</v>
      </c>
      <c r="D26" s="16">
        <f>COUNTIF($B$9:B26,B26)</f>
        <v>5</v>
      </c>
    </row>
    <row r="27" spans="1:9" ht="21" x14ac:dyDescent="0.35">
      <c r="A27" s="8" t="str">
        <f t="shared" si="0"/>
        <v>Nicolas Pereira4</v>
      </c>
      <c r="B27" s="15" t="s">
        <v>34</v>
      </c>
      <c r="C27" s="15" t="s">
        <v>37</v>
      </c>
      <c r="D27" s="16">
        <f>COUNTIF($B$9:B27,B27)</f>
        <v>4</v>
      </c>
    </row>
    <row r="28" spans="1:9" ht="21" x14ac:dyDescent="0.35">
      <c r="A28" s="8" t="str">
        <f t="shared" si="0"/>
        <v>Leonardo Almeida4</v>
      </c>
      <c r="B28" s="15" t="s">
        <v>30</v>
      </c>
      <c r="C28" s="15" t="s">
        <v>39</v>
      </c>
      <c r="D28" s="16">
        <f>COUNTIF($B$9:B28,B28)</f>
        <v>4</v>
      </c>
    </row>
    <row r="29" spans="1:9" ht="21" x14ac:dyDescent="0.35">
      <c r="A29" s="8" t="str">
        <f t="shared" si="0"/>
        <v>Aline Rosa2</v>
      </c>
      <c r="B29" s="15" t="s">
        <v>40</v>
      </c>
      <c r="C29" s="15" t="s">
        <v>41</v>
      </c>
      <c r="D29" s="16">
        <f>COUNTIF($B$9:B29,B29)</f>
        <v>2</v>
      </c>
    </row>
    <row r="30" spans="1:9" ht="21" x14ac:dyDescent="0.35">
      <c r="A30" s="8" t="str">
        <f t="shared" si="0"/>
        <v>Leonardo Almeida5</v>
      </c>
      <c r="B30" s="15" t="s">
        <v>30</v>
      </c>
      <c r="C30" s="15" t="s">
        <v>42</v>
      </c>
      <c r="D30" s="16">
        <f>COUNTIF($B$9:B30,B30)</f>
        <v>5</v>
      </c>
    </row>
    <row r="31" spans="1:9" ht="21" x14ac:dyDescent="0.35">
      <c r="A31" s="8" t="str">
        <f t="shared" si="0"/>
        <v>Eliane Moreira6</v>
      </c>
      <c r="B31" s="15" t="s">
        <v>32</v>
      </c>
      <c r="C31" s="15" t="s">
        <v>43</v>
      </c>
      <c r="D31" s="16">
        <f>COUNTIF($B$9:B31,B31)</f>
        <v>6</v>
      </c>
    </row>
    <row r="32" spans="1:9" ht="21" x14ac:dyDescent="0.35">
      <c r="A32" s="8" t="str">
        <f t="shared" si="0"/>
        <v>Nicolas Pereira5</v>
      </c>
      <c r="B32" s="15" t="s">
        <v>34</v>
      </c>
      <c r="C32" s="15" t="s">
        <v>44</v>
      </c>
      <c r="D32" s="16">
        <f>COUNTIF($B$9:B32,B32)</f>
        <v>5</v>
      </c>
    </row>
    <row r="33" spans="1:4" ht="21" x14ac:dyDescent="0.35">
      <c r="A33" s="8" t="str">
        <f t="shared" si="0"/>
        <v>Amanda Martins4</v>
      </c>
      <c r="B33" s="15" t="s">
        <v>36</v>
      </c>
      <c r="C33" s="15" t="s">
        <v>45</v>
      </c>
      <c r="D33" s="16">
        <f>COUNTIF($B$9:B33,B33)</f>
        <v>4</v>
      </c>
    </row>
    <row r="34" spans="1:4" ht="21" x14ac:dyDescent="0.35">
      <c r="A34" s="8" t="str">
        <f t="shared" si="0"/>
        <v>Eliane Moreira7</v>
      </c>
      <c r="B34" s="15" t="s">
        <v>32</v>
      </c>
      <c r="C34" s="15" t="s">
        <v>46</v>
      </c>
      <c r="D34" s="16">
        <f>COUNTIF($B$9:B34,B34)</f>
        <v>7</v>
      </c>
    </row>
    <row r="35" spans="1:4" ht="21" x14ac:dyDescent="0.35">
      <c r="A35" s="8" t="str">
        <f t="shared" si="0"/>
        <v>Nicolas Pereira6</v>
      </c>
      <c r="B35" s="15" t="s">
        <v>34</v>
      </c>
      <c r="C35" s="15" t="s">
        <v>47</v>
      </c>
      <c r="D35" s="16">
        <f>COUNTIF($B$9:B35,B35)</f>
        <v>6</v>
      </c>
    </row>
    <row r="36" spans="1:4" ht="21" x14ac:dyDescent="0.35">
      <c r="A36" s="8" t="str">
        <f t="shared" si="0"/>
        <v>Amanda Martins5</v>
      </c>
      <c r="B36" s="15" t="s">
        <v>36</v>
      </c>
      <c r="C36" s="15" t="s">
        <v>48</v>
      </c>
      <c r="D36" s="16">
        <f>COUNTIF($B$9:B36,B36)</f>
        <v>5</v>
      </c>
    </row>
    <row r="37" spans="1:4" ht="21" x14ac:dyDescent="0.35">
      <c r="A37" s="8" t="str">
        <f t="shared" si="0"/>
        <v>Angela Maria2</v>
      </c>
      <c r="B37" s="15" t="s">
        <v>51</v>
      </c>
      <c r="C37" s="15" t="s">
        <v>44</v>
      </c>
      <c r="D37" s="16">
        <f>COUNTIF($B$9:B37,B37)</f>
        <v>2</v>
      </c>
    </row>
    <row r="38" spans="1:4" ht="21" x14ac:dyDescent="0.35">
      <c r="A38" s="8" t="str">
        <f t="shared" si="0"/>
        <v>Angela Maria3</v>
      </c>
      <c r="B38" s="15" t="s">
        <v>51</v>
      </c>
      <c r="C38" s="15" t="s">
        <v>45</v>
      </c>
      <c r="D38" s="16">
        <f>COUNTIF($B$9:B38,B38)</f>
        <v>3</v>
      </c>
    </row>
    <row r="39" spans="1:4" ht="21" x14ac:dyDescent="0.35">
      <c r="A39" s="8" t="str">
        <f t="shared" si="0"/>
        <v>Carlos Moreira2</v>
      </c>
      <c r="B39" s="15" t="s">
        <v>52</v>
      </c>
      <c r="C39" s="15" t="s">
        <v>53</v>
      </c>
      <c r="D39" s="16">
        <f>COUNTIF($B$9:B39,B39)</f>
        <v>2</v>
      </c>
    </row>
    <row r="40" spans="1:4" ht="21" x14ac:dyDescent="0.35">
      <c r="A40" s="8" t="str">
        <f t="shared" si="0"/>
        <v>Carlos Moreira3</v>
      </c>
      <c r="B40" s="15" t="s">
        <v>52</v>
      </c>
      <c r="C40" s="15" t="s">
        <v>54</v>
      </c>
      <c r="D40" s="16">
        <f>COUNTIF($B$9:B40,B40)</f>
        <v>3</v>
      </c>
    </row>
    <row r="41" spans="1:4" ht="21" x14ac:dyDescent="0.35">
      <c r="A41" s="8" t="str">
        <f t="shared" si="0"/>
        <v>Aline Rosa3</v>
      </c>
      <c r="B41" s="15" t="s">
        <v>40</v>
      </c>
      <c r="C41" s="15" t="s">
        <v>37</v>
      </c>
      <c r="D41" s="16">
        <f>COUNTIF($B$9:B41,B41)</f>
        <v>3</v>
      </c>
    </row>
    <row r="42" spans="1:4" ht="21" x14ac:dyDescent="0.35">
      <c r="A42" s="8" t="str">
        <f t="shared" si="0"/>
        <v>Aline Rosa4</v>
      </c>
      <c r="B42" s="15" t="s">
        <v>40</v>
      </c>
      <c r="C42" s="15" t="s">
        <v>35</v>
      </c>
      <c r="D42" s="16">
        <f>COUNTIF($B$9:B42,B42)</f>
        <v>4</v>
      </c>
    </row>
    <row r="43" spans="1:4" ht="21" x14ac:dyDescent="0.35">
      <c r="A43" s="8" t="str">
        <f t="shared" si="0"/>
        <v>Aline Rosa5</v>
      </c>
      <c r="B43" s="15" t="s">
        <v>40</v>
      </c>
      <c r="C43" s="15" t="s">
        <v>55</v>
      </c>
      <c r="D43" s="16">
        <f>COUNTIF($B$9:B43,B43)</f>
        <v>5</v>
      </c>
    </row>
    <row r="44" spans="1:4" ht="21" x14ac:dyDescent="0.35">
      <c r="A44" s="8" t="str">
        <f t="shared" si="0"/>
        <v>Paulo Santos2</v>
      </c>
      <c r="B44" s="15" t="s">
        <v>38</v>
      </c>
      <c r="C44" s="15" t="s">
        <v>48</v>
      </c>
      <c r="D44" s="16">
        <f>COUNTIF($B$9:B44,B44)</f>
        <v>2</v>
      </c>
    </row>
    <row r="45" spans="1:4" ht="21" x14ac:dyDescent="0.35">
      <c r="A45" s="8" t="str">
        <f t="shared" si="0"/>
        <v>Paulo Santos3</v>
      </c>
      <c r="B45" s="15" t="s">
        <v>38</v>
      </c>
      <c r="C45" s="15" t="s">
        <v>35</v>
      </c>
      <c r="D45" s="16">
        <f>COUNTIF($B$9:B45,B45)</f>
        <v>3</v>
      </c>
    </row>
  </sheetData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E70709-03ED-4C33-A805-2624A835F3DC}">
          <x14:formula1>
            <xm:f>Dados!$A$2:$A$9</xm:f>
          </x14:formula1>
          <xm:sqref>H5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5E62-E049-49A3-B274-B75AF03E27DF}">
  <dimension ref="A3:F51"/>
  <sheetViews>
    <sheetView showGridLines="0" topLeftCell="A20" zoomScale="94" workbookViewId="0">
      <selection activeCell="F21" sqref="F21"/>
    </sheetView>
  </sheetViews>
  <sheetFormatPr defaultRowHeight="15" x14ac:dyDescent="0.25"/>
  <cols>
    <col min="1" max="1" width="17.28515625" bestFit="1" customWidth="1"/>
    <col min="2" max="2" width="26.7109375" customWidth="1"/>
    <col min="3" max="3" width="34.28515625" customWidth="1"/>
    <col min="5" max="5" width="22.7109375" customWidth="1"/>
    <col min="6" max="6" width="31.42578125" customWidth="1"/>
  </cols>
  <sheetData>
    <row r="3" spans="1:6" ht="36" x14ac:dyDescent="0.55000000000000004">
      <c r="B3" s="19" t="s">
        <v>69</v>
      </c>
    </row>
    <row r="5" spans="1:6" ht="18.75" x14ac:dyDescent="0.3">
      <c r="B5" s="11" t="s">
        <v>70</v>
      </c>
    </row>
    <row r="6" spans="1:6" ht="18.75" x14ac:dyDescent="0.3">
      <c r="B6" s="11" t="s">
        <v>71</v>
      </c>
    </row>
    <row r="7" spans="1:6" ht="18.75" x14ac:dyDescent="0.3">
      <c r="B7" s="11" t="s">
        <v>72</v>
      </c>
    </row>
    <row r="10" spans="1:6" ht="21" x14ac:dyDescent="0.35">
      <c r="A10" s="8"/>
      <c r="E10" s="4" t="s">
        <v>29</v>
      </c>
    </row>
    <row r="11" spans="1:6" ht="21" x14ac:dyDescent="0.35">
      <c r="A11" s="8"/>
      <c r="E11" s="6" t="s">
        <v>40</v>
      </c>
    </row>
    <row r="14" spans="1:6" ht="18.75" x14ac:dyDescent="0.3">
      <c r="B14" s="4" t="s">
        <v>29</v>
      </c>
      <c r="C14" s="4" t="s">
        <v>28</v>
      </c>
      <c r="E14" s="4" t="s">
        <v>29</v>
      </c>
      <c r="F14" s="4" t="s">
        <v>28</v>
      </c>
    </row>
    <row r="15" spans="1:6" ht="21" x14ac:dyDescent="0.35">
      <c r="A15" t="str">
        <f>B15&amp;COUNTIF($B$15:B15,B15)</f>
        <v>Leonardo Almeida1</v>
      </c>
      <c r="B15" s="6" t="s">
        <v>30</v>
      </c>
      <c r="C15" s="6" t="s">
        <v>31</v>
      </c>
      <c r="D15" s="16">
        <f>COUNTIF($B$15:B15,B15)</f>
        <v>1</v>
      </c>
      <c r="E15" s="12" t="str">
        <f>VLOOKUP($E$11&amp;ROW(A1),$A:$C,COLUMN(B1),0)</f>
        <v>Aline Rosa</v>
      </c>
      <c r="F15" s="12" t="str">
        <f t="shared" ref="F15:F51" si="0">VLOOKUP($E$11&amp;ROW(B1),$A:$C,COLUMN(C1),0)</f>
        <v>Bota Masculina</v>
      </c>
    </row>
    <row r="16" spans="1:6" ht="21" x14ac:dyDescent="0.35">
      <c r="A16" t="str">
        <f>B16&amp;COUNTIF($B$15:B16,B16)</f>
        <v>Eliane Moreira1</v>
      </c>
      <c r="B16" s="6" t="s">
        <v>32</v>
      </c>
      <c r="C16" s="6" t="s">
        <v>33</v>
      </c>
      <c r="D16" s="16">
        <f>COUNTIF($B$15:B16,B16)</f>
        <v>1</v>
      </c>
      <c r="E16" s="12" t="str">
        <f t="shared" ref="E16:E51" si="1">VLOOKUP($E$11&amp;ROW(A2),$A:$C,COLUMN(B2),0)</f>
        <v>Aline Rosa</v>
      </c>
      <c r="F16" s="12" t="str">
        <f t="shared" si="0"/>
        <v>Bota Masculina</v>
      </c>
    </row>
    <row r="17" spans="1:6" ht="21" x14ac:dyDescent="0.35">
      <c r="A17" t="str">
        <f>B17&amp;COUNTIF($B$15:B17,B17)</f>
        <v>Nicolas Pereira1</v>
      </c>
      <c r="B17" s="6" t="s">
        <v>34</v>
      </c>
      <c r="C17" s="6" t="s">
        <v>35</v>
      </c>
      <c r="D17" s="16">
        <f>COUNTIF($B$15:B17,B17)</f>
        <v>1</v>
      </c>
      <c r="E17" s="12" t="str">
        <f t="shared" si="1"/>
        <v>Aline Rosa</v>
      </c>
      <c r="F17" s="12" t="str">
        <f t="shared" si="0"/>
        <v>Bermuda Masculino</v>
      </c>
    </row>
    <row r="18" spans="1:6" ht="21" x14ac:dyDescent="0.35">
      <c r="A18" t="str">
        <f>B18&amp;COUNTIF($B$15:B18,B18)</f>
        <v>Amanda Martins1</v>
      </c>
      <c r="B18" s="6" t="s">
        <v>36</v>
      </c>
      <c r="C18" s="6" t="s">
        <v>37</v>
      </c>
      <c r="D18" s="16">
        <f>COUNTIF($B$15:B18,B18)</f>
        <v>1</v>
      </c>
      <c r="E18" s="12" t="str">
        <f t="shared" si="1"/>
        <v>Aline Rosa</v>
      </c>
      <c r="F18" s="12" t="str">
        <f t="shared" si="0"/>
        <v>Camisa Masculina</v>
      </c>
    </row>
    <row r="19" spans="1:6" ht="21" x14ac:dyDescent="0.35">
      <c r="A19" t="str">
        <f>B19&amp;COUNTIF($B$15:B19,B19)</f>
        <v>Paulo Santos1</v>
      </c>
      <c r="B19" s="6" t="s">
        <v>38</v>
      </c>
      <c r="C19" s="6" t="s">
        <v>39</v>
      </c>
      <c r="D19" s="16">
        <f>COUNTIF($B$15:B19,B19)</f>
        <v>1</v>
      </c>
      <c r="E19" s="12" t="str">
        <f t="shared" si="1"/>
        <v>Aline Rosa</v>
      </c>
      <c r="F19" s="12" t="str">
        <f t="shared" si="0"/>
        <v>Chinelo</v>
      </c>
    </row>
    <row r="20" spans="1:6" ht="21" x14ac:dyDescent="0.35">
      <c r="A20" t="str">
        <f>B20&amp;COUNTIF($B$15:B20,B20)</f>
        <v>Aline Rosa1</v>
      </c>
      <c r="B20" s="6" t="s">
        <v>40</v>
      </c>
      <c r="C20" s="6" t="s">
        <v>41</v>
      </c>
      <c r="D20" s="16">
        <f>COUNTIF($B$15:B20,B20)</f>
        <v>1</v>
      </c>
      <c r="E20" s="12" t="e">
        <f t="shared" si="1"/>
        <v>#N/A</v>
      </c>
      <c r="F20" s="12" t="e">
        <f t="shared" si="0"/>
        <v>#N/A</v>
      </c>
    </row>
    <row r="21" spans="1:6" ht="21" x14ac:dyDescent="0.35">
      <c r="A21" t="str">
        <f>B21&amp;COUNTIF($B$15:B21,B21)</f>
        <v>Leonardo Almeida2</v>
      </c>
      <c r="B21" s="6" t="s">
        <v>30</v>
      </c>
      <c r="C21" s="6" t="s">
        <v>42</v>
      </c>
      <c r="D21" s="16">
        <f>COUNTIF($B$15:B21,B21)</f>
        <v>2</v>
      </c>
      <c r="E21" s="12" t="e">
        <f t="shared" si="1"/>
        <v>#N/A</v>
      </c>
      <c r="F21" s="12" t="e">
        <f t="shared" si="0"/>
        <v>#N/A</v>
      </c>
    </row>
    <row r="22" spans="1:6" ht="21" x14ac:dyDescent="0.35">
      <c r="A22" t="str">
        <f>B22&amp;COUNTIF($B$15:B22,B22)</f>
        <v>Eliane Moreira2</v>
      </c>
      <c r="B22" s="6" t="s">
        <v>32</v>
      </c>
      <c r="C22" s="6" t="s">
        <v>43</v>
      </c>
      <c r="D22" s="16">
        <f>COUNTIF($B$15:B22,B22)</f>
        <v>2</v>
      </c>
      <c r="E22" s="12" t="e">
        <f t="shared" si="1"/>
        <v>#N/A</v>
      </c>
      <c r="F22" s="12" t="e">
        <f t="shared" si="0"/>
        <v>#N/A</v>
      </c>
    </row>
    <row r="23" spans="1:6" ht="21" x14ac:dyDescent="0.35">
      <c r="A23" t="str">
        <f>B23&amp;COUNTIF($B$15:B23,B23)</f>
        <v>Nicolas Pereira2</v>
      </c>
      <c r="B23" s="6" t="s">
        <v>34</v>
      </c>
      <c r="C23" s="6" t="s">
        <v>44</v>
      </c>
      <c r="D23" s="16">
        <f>COUNTIF($B$15:B23,B23)</f>
        <v>2</v>
      </c>
      <c r="E23" s="12" t="e">
        <f t="shared" si="1"/>
        <v>#N/A</v>
      </c>
      <c r="F23" s="12" t="e">
        <f t="shared" si="0"/>
        <v>#N/A</v>
      </c>
    </row>
    <row r="24" spans="1:6" ht="21" x14ac:dyDescent="0.35">
      <c r="A24" t="str">
        <f>B24&amp;COUNTIF($B$15:B24,B24)</f>
        <v>Amanda Martins2</v>
      </c>
      <c r="B24" s="6" t="s">
        <v>36</v>
      </c>
      <c r="C24" s="6" t="s">
        <v>45</v>
      </c>
      <c r="D24" s="16">
        <f>COUNTIF($B$15:B24,B24)</f>
        <v>2</v>
      </c>
      <c r="E24" s="12" t="e">
        <f t="shared" si="1"/>
        <v>#N/A</v>
      </c>
      <c r="F24" s="12" t="e">
        <f t="shared" si="0"/>
        <v>#N/A</v>
      </c>
    </row>
    <row r="25" spans="1:6" ht="21" x14ac:dyDescent="0.35">
      <c r="A25" t="str">
        <f>B25&amp;COUNTIF($B$15:B25,B25)</f>
        <v>Leonardo Almeida3</v>
      </c>
      <c r="B25" s="6" t="s">
        <v>30</v>
      </c>
      <c r="C25" s="6" t="s">
        <v>46</v>
      </c>
      <c r="D25" s="16">
        <f>COUNTIF($B$15:B25,B25)</f>
        <v>3</v>
      </c>
      <c r="E25" s="12" t="e">
        <f t="shared" si="1"/>
        <v>#N/A</v>
      </c>
      <c r="F25" s="12" t="e">
        <f t="shared" si="0"/>
        <v>#N/A</v>
      </c>
    </row>
    <row r="26" spans="1:6" ht="21" x14ac:dyDescent="0.35">
      <c r="A26" t="str">
        <f>B26&amp;COUNTIF($B$15:B26,B26)</f>
        <v>Eliane Moreira3</v>
      </c>
      <c r="B26" s="6" t="s">
        <v>32</v>
      </c>
      <c r="C26" s="6" t="s">
        <v>47</v>
      </c>
      <c r="D26" s="16">
        <f>COUNTIF($B$15:B26,B26)</f>
        <v>3</v>
      </c>
      <c r="E26" s="12" t="e">
        <f t="shared" si="1"/>
        <v>#N/A</v>
      </c>
      <c r="F26" s="12" t="e">
        <f t="shared" si="0"/>
        <v>#N/A</v>
      </c>
    </row>
    <row r="27" spans="1:6" ht="21" x14ac:dyDescent="0.35">
      <c r="A27" t="str">
        <f>B27&amp;COUNTIF($B$15:B27,B27)</f>
        <v>Nicolas Pereira3</v>
      </c>
      <c r="B27" s="6" t="s">
        <v>34</v>
      </c>
      <c r="C27" s="6" t="s">
        <v>48</v>
      </c>
      <c r="D27" s="16">
        <f>COUNTIF($B$15:B27,B27)</f>
        <v>3</v>
      </c>
      <c r="E27" s="12" t="e">
        <f t="shared" si="1"/>
        <v>#N/A</v>
      </c>
      <c r="F27" s="12" t="e">
        <f t="shared" si="0"/>
        <v>#N/A</v>
      </c>
    </row>
    <row r="28" spans="1:6" ht="21" x14ac:dyDescent="0.35">
      <c r="A28" t="str">
        <f>B28&amp;COUNTIF($B$15:B28,B28)</f>
        <v>Amanda Martins3</v>
      </c>
      <c r="B28" s="6" t="s">
        <v>36</v>
      </c>
      <c r="C28" s="6" t="s">
        <v>49</v>
      </c>
      <c r="D28" s="16">
        <f>COUNTIF($B$15:B28,B28)</f>
        <v>3</v>
      </c>
      <c r="E28" s="12" t="e">
        <f t="shared" si="1"/>
        <v>#N/A</v>
      </c>
      <c r="F28" s="12" t="e">
        <f t="shared" si="0"/>
        <v>#N/A</v>
      </c>
    </row>
    <row r="29" spans="1:6" ht="21" x14ac:dyDescent="0.35">
      <c r="A29" t="str">
        <f>B29&amp;COUNTIF($B$15:B29,B29)</f>
        <v>Eliane Moreira4</v>
      </c>
      <c r="B29" s="6" t="s">
        <v>32</v>
      </c>
      <c r="C29" s="6" t="s">
        <v>50</v>
      </c>
      <c r="D29" s="16">
        <f>COUNTIF($B$15:B29,B29)</f>
        <v>4</v>
      </c>
      <c r="E29" s="12" t="e">
        <f t="shared" si="1"/>
        <v>#N/A</v>
      </c>
      <c r="F29" s="12" t="e">
        <f t="shared" si="0"/>
        <v>#N/A</v>
      </c>
    </row>
    <row r="30" spans="1:6" ht="21" x14ac:dyDescent="0.35">
      <c r="A30" t="str">
        <f>B30&amp;COUNTIF($B$15:B30,B30)</f>
        <v>Angela Maria1</v>
      </c>
      <c r="B30" s="6" t="s">
        <v>51</v>
      </c>
      <c r="C30" s="6" t="s">
        <v>31</v>
      </c>
      <c r="D30" s="16">
        <f>COUNTIF($B$15:B30,B30)</f>
        <v>1</v>
      </c>
      <c r="E30" s="12" t="e">
        <f t="shared" si="1"/>
        <v>#N/A</v>
      </c>
      <c r="F30" s="12" t="e">
        <f t="shared" si="0"/>
        <v>#N/A</v>
      </c>
    </row>
    <row r="31" spans="1:6" ht="21" x14ac:dyDescent="0.35">
      <c r="A31" t="str">
        <f>B31&amp;COUNTIF($B$15:B31,B31)</f>
        <v>Carlos Moreira1</v>
      </c>
      <c r="B31" s="6" t="s">
        <v>52</v>
      </c>
      <c r="C31" s="6" t="s">
        <v>33</v>
      </c>
      <c r="D31" s="16">
        <f>COUNTIF($B$15:B31,B31)</f>
        <v>1</v>
      </c>
      <c r="E31" s="12" t="e">
        <f t="shared" si="1"/>
        <v>#N/A</v>
      </c>
      <c r="F31" s="12" t="e">
        <f t="shared" si="0"/>
        <v>#N/A</v>
      </c>
    </row>
    <row r="32" spans="1:6" ht="21" x14ac:dyDescent="0.35">
      <c r="A32" t="str">
        <f>B32&amp;COUNTIF($B$15:B32,B32)</f>
        <v>Eliane Moreira5</v>
      </c>
      <c r="B32" s="6" t="s">
        <v>32</v>
      </c>
      <c r="C32" s="6" t="s">
        <v>35</v>
      </c>
      <c r="D32" s="16">
        <f>COUNTIF($B$15:B32,B32)</f>
        <v>5</v>
      </c>
      <c r="E32" s="12" t="e">
        <f t="shared" si="1"/>
        <v>#N/A</v>
      </c>
      <c r="F32" s="12" t="e">
        <f t="shared" si="0"/>
        <v>#N/A</v>
      </c>
    </row>
    <row r="33" spans="1:6" ht="21" x14ac:dyDescent="0.35">
      <c r="A33" t="str">
        <f>B33&amp;COUNTIF($B$15:B33,B33)</f>
        <v>Nicolas Pereira4</v>
      </c>
      <c r="B33" s="6" t="s">
        <v>34</v>
      </c>
      <c r="C33" s="6" t="s">
        <v>37</v>
      </c>
      <c r="D33" s="16">
        <f>COUNTIF($B$15:B33,B33)</f>
        <v>4</v>
      </c>
      <c r="E33" s="12" t="e">
        <f t="shared" si="1"/>
        <v>#N/A</v>
      </c>
      <c r="F33" s="12" t="e">
        <f t="shared" si="0"/>
        <v>#N/A</v>
      </c>
    </row>
    <row r="34" spans="1:6" ht="21" x14ac:dyDescent="0.35">
      <c r="A34" t="str">
        <f>B34&amp;COUNTIF($B$15:B34,B34)</f>
        <v>Leonardo Almeida4</v>
      </c>
      <c r="B34" s="6" t="s">
        <v>30</v>
      </c>
      <c r="C34" s="6" t="s">
        <v>39</v>
      </c>
      <c r="D34" s="16">
        <f>COUNTIF($B$15:B34,B34)</f>
        <v>4</v>
      </c>
      <c r="E34" s="12" t="e">
        <f t="shared" si="1"/>
        <v>#N/A</v>
      </c>
      <c r="F34" s="12" t="e">
        <f t="shared" si="0"/>
        <v>#N/A</v>
      </c>
    </row>
    <row r="35" spans="1:6" ht="21" x14ac:dyDescent="0.35">
      <c r="A35" t="str">
        <f>B35&amp;COUNTIF($B$15:B35,B35)</f>
        <v>Aline Rosa2</v>
      </c>
      <c r="B35" s="6" t="s">
        <v>40</v>
      </c>
      <c r="C35" s="6" t="s">
        <v>41</v>
      </c>
      <c r="D35" s="16">
        <f>COUNTIF($B$15:B35,B35)</f>
        <v>2</v>
      </c>
      <c r="E35" s="12" t="e">
        <f t="shared" si="1"/>
        <v>#N/A</v>
      </c>
      <c r="F35" s="12" t="e">
        <f t="shared" si="0"/>
        <v>#N/A</v>
      </c>
    </row>
    <row r="36" spans="1:6" ht="21" x14ac:dyDescent="0.35">
      <c r="A36" t="str">
        <f>B36&amp;COUNTIF($B$15:B36,B36)</f>
        <v>Leonardo Almeida5</v>
      </c>
      <c r="B36" s="6" t="s">
        <v>30</v>
      </c>
      <c r="C36" s="6" t="s">
        <v>42</v>
      </c>
      <c r="D36" s="16">
        <f>COUNTIF($B$15:B36,B36)</f>
        <v>5</v>
      </c>
      <c r="E36" s="12" t="e">
        <f t="shared" si="1"/>
        <v>#N/A</v>
      </c>
      <c r="F36" s="12" t="e">
        <f t="shared" si="0"/>
        <v>#N/A</v>
      </c>
    </row>
    <row r="37" spans="1:6" ht="21" x14ac:dyDescent="0.35">
      <c r="A37" t="str">
        <f>B37&amp;COUNTIF($B$15:B37,B37)</f>
        <v>Eliane Moreira6</v>
      </c>
      <c r="B37" s="6" t="s">
        <v>32</v>
      </c>
      <c r="C37" s="6" t="s">
        <v>43</v>
      </c>
      <c r="D37" s="16">
        <f>COUNTIF($B$15:B37,B37)</f>
        <v>6</v>
      </c>
      <c r="E37" s="12" t="e">
        <f t="shared" si="1"/>
        <v>#N/A</v>
      </c>
      <c r="F37" s="12" t="e">
        <f t="shared" si="0"/>
        <v>#N/A</v>
      </c>
    </row>
    <row r="38" spans="1:6" ht="21" x14ac:dyDescent="0.35">
      <c r="A38" t="str">
        <f>B38&amp;COUNTIF($B$15:B38,B38)</f>
        <v>Nicolas Pereira5</v>
      </c>
      <c r="B38" s="6" t="s">
        <v>34</v>
      </c>
      <c r="C38" s="6" t="s">
        <v>44</v>
      </c>
      <c r="D38" s="16">
        <f>COUNTIF($B$15:B38,B38)</f>
        <v>5</v>
      </c>
      <c r="E38" s="12" t="e">
        <f t="shared" si="1"/>
        <v>#N/A</v>
      </c>
      <c r="F38" s="12" t="e">
        <f t="shared" si="0"/>
        <v>#N/A</v>
      </c>
    </row>
    <row r="39" spans="1:6" ht="21" x14ac:dyDescent="0.35">
      <c r="A39" t="str">
        <f>B39&amp;COUNTIF($B$15:B39,B39)</f>
        <v>Amanda Martins4</v>
      </c>
      <c r="B39" s="6" t="s">
        <v>36</v>
      </c>
      <c r="C39" s="6" t="s">
        <v>45</v>
      </c>
      <c r="D39" s="16">
        <f>COUNTIF($B$15:B39,B39)</f>
        <v>4</v>
      </c>
      <c r="E39" s="12" t="e">
        <f t="shared" si="1"/>
        <v>#N/A</v>
      </c>
      <c r="F39" s="12" t="e">
        <f t="shared" si="0"/>
        <v>#N/A</v>
      </c>
    </row>
    <row r="40" spans="1:6" ht="21" x14ac:dyDescent="0.35">
      <c r="A40" t="str">
        <f>B40&amp;COUNTIF($B$15:B40,B40)</f>
        <v>Eliane Moreira7</v>
      </c>
      <c r="B40" s="6" t="s">
        <v>32</v>
      </c>
      <c r="C40" s="6" t="s">
        <v>46</v>
      </c>
      <c r="D40" s="16">
        <f>COUNTIF($B$15:B40,B40)</f>
        <v>7</v>
      </c>
      <c r="E40" s="12" t="e">
        <f t="shared" si="1"/>
        <v>#N/A</v>
      </c>
      <c r="F40" s="12" t="e">
        <f t="shared" si="0"/>
        <v>#N/A</v>
      </c>
    </row>
    <row r="41" spans="1:6" ht="21" x14ac:dyDescent="0.35">
      <c r="A41" t="str">
        <f>B41&amp;COUNTIF($B$15:B41,B41)</f>
        <v>Nicolas Pereira6</v>
      </c>
      <c r="B41" s="6" t="s">
        <v>34</v>
      </c>
      <c r="C41" s="6" t="s">
        <v>47</v>
      </c>
      <c r="D41" s="16">
        <f>COUNTIF($B$15:B41,B41)</f>
        <v>6</v>
      </c>
      <c r="E41" s="12" t="e">
        <f t="shared" si="1"/>
        <v>#N/A</v>
      </c>
      <c r="F41" s="12" t="e">
        <f t="shared" si="0"/>
        <v>#N/A</v>
      </c>
    </row>
    <row r="42" spans="1:6" ht="21" x14ac:dyDescent="0.35">
      <c r="A42" t="str">
        <f>B42&amp;COUNTIF($B$15:B42,B42)</f>
        <v>Amanda Martins5</v>
      </c>
      <c r="B42" s="6" t="s">
        <v>36</v>
      </c>
      <c r="C42" s="6" t="s">
        <v>48</v>
      </c>
      <c r="D42" s="16">
        <f>COUNTIF($B$15:B42,B42)</f>
        <v>5</v>
      </c>
      <c r="E42" s="12" t="e">
        <f t="shared" si="1"/>
        <v>#N/A</v>
      </c>
      <c r="F42" s="12" t="e">
        <f t="shared" si="0"/>
        <v>#N/A</v>
      </c>
    </row>
    <row r="43" spans="1:6" ht="21" x14ac:dyDescent="0.35">
      <c r="A43" t="str">
        <f>B43&amp;COUNTIF($B$15:B43,B43)</f>
        <v>Angela Maria2</v>
      </c>
      <c r="B43" s="6" t="s">
        <v>51</v>
      </c>
      <c r="C43" s="6" t="s">
        <v>44</v>
      </c>
      <c r="D43" s="16">
        <f>COUNTIF($B$15:B43,B43)</f>
        <v>2</v>
      </c>
      <c r="E43" s="12" t="e">
        <f t="shared" si="1"/>
        <v>#N/A</v>
      </c>
      <c r="F43" s="12" t="e">
        <f t="shared" si="0"/>
        <v>#N/A</v>
      </c>
    </row>
    <row r="44" spans="1:6" ht="21" x14ac:dyDescent="0.35">
      <c r="A44" t="str">
        <f>B44&amp;COUNTIF($B$15:B44,B44)</f>
        <v>Angela Maria3</v>
      </c>
      <c r="B44" s="6" t="s">
        <v>51</v>
      </c>
      <c r="C44" s="6" t="s">
        <v>45</v>
      </c>
      <c r="D44" s="16">
        <f>COUNTIF($B$15:B44,B44)</f>
        <v>3</v>
      </c>
      <c r="E44" s="12" t="e">
        <f t="shared" si="1"/>
        <v>#N/A</v>
      </c>
      <c r="F44" s="12" t="e">
        <f t="shared" si="0"/>
        <v>#N/A</v>
      </c>
    </row>
    <row r="45" spans="1:6" ht="21" x14ac:dyDescent="0.35">
      <c r="A45" t="str">
        <f>B45&amp;COUNTIF($B$15:B45,B45)</f>
        <v>Carlos Moreira2</v>
      </c>
      <c r="B45" s="6" t="s">
        <v>52</v>
      </c>
      <c r="C45" s="6" t="s">
        <v>53</v>
      </c>
      <c r="D45" s="16">
        <f>COUNTIF($B$15:B45,B45)</f>
        <v>2</v>
      </c>
      <c r="E45" s="12" t="e">
        <f t="shared" si="1"/>
        <v>#N/A</v>
      </c>
      <c r="F45" s="12" t="e">
        <f t="shared" si="0"/>
        <v>#N/A</v>
      </c>
    </row>
    <row r="46" spans="1:6" ht="21" x14ac:dyDescent="0.35">
      <c r="A46" t="str">
        <f>B46&amp;COUNTIF($B$15:B46,B46)</f>
        <v>Carlos Moreira3</v>
      </c>
      <c r="B46" s="6" t="s">
        <v>52</v>
      </c>
      <c r="C46" s="6" t="s">
        <v>54</v>
      </c>
      <c r="D46" s="16">
        <f>COUNTIF($B$15:B46,B46)</f>
        <v>3</v>
      </c>
      <c r="E46" s="12" t="e">
        <f t="shared" si="1"/>
        <v>#N/A</v>
      </c>
      <c r="F46" s="12" t="e">
        <f t="shared" si="0"/>
        <v>#N/A</v>
      </c>
    </row>
    <row r="47" spans="1:6" ht="21" x14ac:dyDescent="0.35">
      <c r="A47" t="str">
        <f>B47&amp;COUNTIF($B$15:B47,B47)</f>
        <v>Aline Rosa3</v>
      </c>
      <c r="B47" s="6" t="s">
        <v>40</v>
      </c>
      <c r="C47" s="6" t="s">
        <v>37</v>
      </c>
      <c r="D47" s="16">
        <f>COUNTIF($B$15:B47,B47)</f>
        <v>3</v>
      </c>
      <c r="E47" s="12" t="e">
        <f t="shared" si="1"/>
        <v>#N/A</v>
      </c>
      <c r="F47" s="12" t="e">
        <f t="shared" si="0"/>
        <v>#N/A</v>
      </c>
    </row>
    <row r="48" spans="1:6" ht="21" x14ac:dyDescent="0.35">
      <c r="A48" t="str">
        <f>B48&amp;COUNTIF($B$15:B48,B48)</f>
        <v>Aline Rosa4</v>
      </c>
      <c r="B48" s="6" t="s">
        <v>40</v>
      </c>
      <c r="C48" s="6" t="s">
        <v>35</v>
      </c>
      <c r="D48" s="16">
        <f>COUNTIF($B$15:B48,B48)</f>
        <v>4</v>
      </c>
      <c r="E48" s="12" t="e">
        <f t="shared" si="1"/>
        <v>#N/A</v>
      </c>
      <c r="F48" s="12" t="e">
        <f t="shared" si="0"/>
        <v>#N/A</v>
      </c>
    </row>
    <row r="49" spans="1:6" ht="21" x14ac:dyDescent="0.35">
      <c r="A49" t="str">
        <f>B49&amp;COUNTIF($B$15:B49,B49)</f>
        <v>Aline Rosa5</v>
      </c>
      <c r="B49" s="6" t="s">
        <v>40</v>
      </c>
      <c r="C49" s="6" t="s">
        <v>55</v>
      </c>
      <c r="D49" s="16">
        <f>COUNTIF($B$15:B49,B49)</f>
        <v>5</v>
      </c>
      <c r="E49" s="12" t="e">
        <f t="shared" si="1"/>
        <v>#N/A</v>
      </c>
      <c r="F49" s="12" t="e">
        <f t="shared" si="0"/>
        <v>#N/A</v>
      </c>
    </row>
    <row r="50" spans="1:6" ht="21" x14ac:dyDescent="0.35">
      <c r="A50" t="str">
        <f>B50&amp;COUNTIF($B$15:B50,B50)</f>
        <v>Paulo Santos2</v>
      </c>
      <c r="B50" s="6" t="s">
        <v>38</v>
      </c>
      <c r="C50" s="6" t="s">
        <v>48</v>
      </c>
      <c r="D50" s="16">
        <f>COUNTIF($B$15:B50,B50)</f>
        <v>2</v>
      </c>
      <c r="E50" s="12" t="e">
        <f t="shared" si="1"/>
        <v>#N/A</v>
      </c>
      <c r="F50" s="12" t="e">
        <f t="shared" si="0"/>
        <v>#N/A</v>
      </c>
    </row>
    <row r="51" spans="1:6" ht="21" x14ac:dyDescent="0.35">
      <c r="A51" t="str">
        <f>B51&amp;COUNTIF($B$15:B51,B51)</f>
        <v>Paulo Santos3</v>
      </c>
      <c r="B51" s="6" t="s">
        <v>38</v>
      </c>
      <c r="C51" s="6" t="s">
        <v>35</v>
      </c>
      <c r="D51" s="16">
        <f>COUNTIF($B$15:B51,B51)</f>
        <v>3</v>
      </c>
      <c r="E51" s="12" t="e">
        <f t="shared" si="1"/>
        <v>#N/A</v>
      </c>
      <c r="F51" s="12" t="e">
        <f t="shared" si="0"/>
        <v>#N/A</v>
      </c>
    </row>
  </sheetData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07AC77-C797-4A27-A793-19E1FA660FE7}">
          <x14:formula1>
            <xm:f>Dados!$A$2:$A$9</xm:f>
          </x14:formula1>
          <xm:sqref>E11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B0DB-82B9-4745-B1D3-4B73DEE5F9E8}">
  <dimension ref="A4:G24"/>
  <sheetViews>
    <sheetView showGridLines="0" tabSelected="1" topLeftCell="A11" zoomScale="94" workbookViewId="0">
      <selection activeCell="E19" sqref="E19:E24"/>
    </sheetView>
  </sheetViews>
  <sheetFormatPr defaultRowHeight="15" x14ac:dyDescent="0.25"/>
  <cols>
    <col min="1" max="1" width="39.28515625" customWidth="1"/>
    <col min="2" max="2" width="31.42578125" customWidth="1"/>
    <col min="4" max="4" width="22.7109375" customWidth="1"/>
    <col min="5" max="5" width="31.42578125" customWidth="1"/>
    <col min="6" max="6" width="33.140625" bestFit="1" customWidth="1"/>
    <col min="7" max="7" width="8.7109375" bestFit="1" customWidth="1"/>
  </cols>
  <sheetData>
    <row r="4" spans="1:7" ht="19.5" customHeight="1" x14ac:dyDescent="0.35">
      <c r="B4" s="8"/>
      <c r="D4" s="8" t="s">
        <v>76</v>
      </c>
    </row>
    <row r="5" spans="1:7" ht="21" x14ac:dyDescent="0.35">
      <c r="D5" s="8" t="s">
        <v>77</v>
      </c>
    </row>
    <row r="8" spans="1:7" ht="18.75" x14ac:dyDescent="0.3">
      <c r="A8" s="4" t="s">
        <v>29</v>
      </c>
      <c r="B8" s="4" t="s">
        <v>28</v>
      </c>
      <c r="D8" s="4" t="s">
        <v>29</v>
      </c>
      <c r="E8" s="4" t="s">
        <v>12</v>
      </c>
      <c r="F8" s="4" t="s">
        <v>28</v>
      </c>
    </row>
    <row r="9" spans="1:7" ht="18.75" x14ac:dyDescent="0.3">
      <c r="A9" s="6" t="s">
        <v>59</v>
      </c>
      <c r="B9" s="6" t="s">
        <v>31</v>
      </c>
      <c r="D9" s="6" t="s">
        <v>30</v>
      </c>
      <c r="E9" s="12" t="str">
        <f>VLOOKUP(D9,$A$18:$B$24,2,0)</f>
        <v>BR5083-Leonardo Almeida</v>
      </c>
      <c r="F9" s="12" t="str">
        <f>VLOOKUP(VLOOKUP(D9,$A$18:$B$24,2,0),$A$8:$B$14,2,0)</f>
        <v>Tênis Feminino</v>
      </c>
    </row>
    <row r="10" spans="1:7" ht="18.75" x14ac:dyDescent="0.3">
      <c r="A10" s="6" t="s">
        <v>60</v>
      </c>
      <c r="B10" s="6" t="s">
        <v>33</v>
      </c>
      <c r="D10" s="6" t="s">
        <v>32</v>
      </c>
      <c r="E10" s="12" t="str">
        <f t="shared" ref="E10:E14" si="0">VLOOKUP(D10,$A$18:$B$24,2,0)</f>
        <v>BR9054-Eliane Moreira</v>
      </c>
      <c r="F10" s="12" t="str">
        <f t="shared" ref="F10:F14" si="1">VLOOKUP(VLOOKUP(D10,$A$18:$B$24,2,0),$A$8:$B$14,2,0)</f>
        <v>Calça Feminina Jogger</v>
      </c>
      <c r="G10" s="10"/>
    </row>
    <row r="11" spans="1:7" ht="18.75" x14ac:dyDescent="0.3">
      <c r="A11" s="6" t="s">
        <v>61</v>
      </c>
      <c r="B11" s="6" t="s">
        <v>35</v>
      </c>
      <c r="D11" s="6" t="s">
        <v>34</v>
      </c>
      <c r="E11" s="12" t="str">
        <f t="shared" si="0"/>
        <v>BR8828-Nicolas Pereira</v>
      </c>
      <c r="F11" s="12" t="str">
        <f t="shared" si="1"/>
        <v>Camisa Masculina</v>
      </c>
      <c r="G11" s="10"/>
    </row>
    <row r="12" spans="1:7" ht="18.75" x14ac:dyDescent="0.3">
      <c r="A12" s="6" t="s">
        <v>62</v>
      </c>
      <c r="B12" s="6" t="s">
        <v>37</v>
      </c>
      <c r="D12" s="6" t="s">
        <v>36</v>
      </c>
      <c r="E12" s="12" t="str">
        <f t="shared" si="0"/>
        <v>BR9117-Amanda Martins</v>
      </c>
      <c r="F12" s="12" t="str">
        <f t="shared" si="1"/>
        <v>Bermuda Masculino</v>
      </c>
      <c r="G12" s="10"/>
    </row>
    <row r="13" spans="1:7" ht="18.75" x14ac:dyDescent="0.3">
      <c r="A13" s="6" t="s">
        <v>63</v>
      </c>
      <c r="B13" s="6" t="s">
        <v>39</v>
      </c>
      <c r="D13" s="6" t="s">
        <v>38</v>
      </c>
      <c r="E13" s="12" t="str">
        <f t="shared" si="0"/>
        <v>BR7712-Paulo Santos</v>
      </c>
      <c r="F13" s="12" t="str">
        <f t="shared" si="1"/>
        <v>Camisa Masculina Festa Balada</v>
      </c>
      <c r="G13" s="10"/>
    </row>
    <row r="14" spans="1:7" ht="18.75" x14ac:dyDescent="0.3">
      <c r="A14" s="6" t="s">
        <v>64</v>
      </c>
      <c r="B14" s="6" t="s">
        <v>41</v>
      </c>
      <c r="D14" s="6" t="s">
        <v>40</v>
      </c>
      <c r="E14" s="12" t="str">
        <f t="shared" si="0"/>
        <v>BR8853-Aline Rosa</v>
      </c>
      <c r="F14" s="12" t="str">
        <f t="shared" si="1"/>
        <v>Bota Masculina</v>
      </c>
      <c r="G14" s="10"/>
    </row>
    <row r="16" spans="1:7" ht="18.75" x14ac:dyDescent="0.3">
      <c r="D16" s="11" t="s">
        <v>65</v>
      </c>
    </row>
    <row r="17" spans="1:5" ht="21" x14ac:dyDescent="0.35">
      <c r="D17" s="8" t="s">
        <v>78</v>
      </c>
    </row>
    <row r="18" spans="1:5" ht="18.75" x14ac:dyDescent="0.3">
      <c r="A18" s="4" t="s">
        <v>29</v>
      </c>
      <c r="B18" s="4" t="s">
        <v>29</v>
      </c>
      <c r="D18" s="4" t="s">
        <v>29</v>
      </c>
      <c r="E18" s="4" t="s">
        <v>28</v>
      </c>
    </row>
    <row r="19" spans="1:5" ht="18.75" x14ac:dyDescent="0.3">
      <c r="A19" s="6" t="s">
        <v>30</v>
      </c>
      <c r="B19" s="6" t="s">
        <v>59</v>
      </c>
      <c r="D19" s="6" t="s">
        <v>30</v>
      </c>
      <c r="E19" s="12" t="str">
        <f>VLOOKUP("*"&amp;D19,$A$8:$B$14,2,0)</f>
        <v>Tênis Feminino</v>
      </c>
    </row>
    <row r="20" spans="1:5" ht="18.75" x14ac:dyDescent="0.3">
      <c r="A20" s="6" t="s">
        <v>32</v>
      </c>
      <c r="B20" s="6" t="s">
        <v>60</v>
      </c>
      <c r="D20" s="6" t="s">
        <v>32</v>
      </c>
      <c r="E20" s="12" t="str">
        <f t="shared" ref="E20:E24" si="2">VLOOKUP("*"&amp;D20,$A$8:$B$14,2,0)</f>
        <v>Calça Feminina Jogger</v>
      </c>
    </row>
    <row r="21" spans="1:5" ht="18.75" x14ac:dyDescent="0.3">
      <c r="A21" s="6" t="s">
        <v>34</v>
      </c>
      <c r="B21" s="6" t="s">
        <v>61</v>
      </c>
      <c r="D21" s="6" t="s">
        <v>34</v>
      </c>
      <c r="E21" s="12" t="str">
        <f t="shared" si="2"/>
        <v>Camisa Masculina</v>
      </c>
    </row>
    <row r="22" spans="1:5" ht="18.75" x14ac:dyDescent="0.3">
      <c r="A22" s="6" t="s">
        <v>36</v>
      </c>
      <c r="B22" s="6" t="s">
        <v>62</v>
      </c>
      <c r="D22" s="6" t="s">
        <v>36</v>
      </c>
      <c r="E22" s="12" t="str">
        <f t="shared" si="2"/>
        <v>Bermuda Masculino</v>
      </c>
    </row>
    <row r="23" spans="1:5" ht="18.75" x14ac:dyDescent="0.3">
      <c r="A23" s="6" t="s">
        <v>38</v>
      </c>
      <c r="B23" s="6" t="s">
        <v>63</v>
      </c>
      <c r="D23" s="6" t="s">
        <v>38</v>
      </c>
      <c r="E23" s="12" t="str">
        <f t="shared" si="2"/>
        <v>Camisa Masculina Festa Balada</v>
      </c>
    </row>
    <row r="24" spans="1:5" ht="18.75" x14ac:dyDescent="0.3">
      <c r="A24" s="6" t="s">
        <v>40</v>
      </c>
      <c r="B24" s="6" t="s">
        <v>64</v>
      </c>
      <c r="D24" s="6" t="s">
        <v>40</v>
      </c>
      <c r="E24" s="12" t="str">
        <f t="shared" si="2"/>
        <v>Bota Masculina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Professor Exemplo 1</vt:lpstr>
      <vt:lpstr>Professor Exemplo 2</vt:lpstr>
      <vt:lpstr>Professor Exemplo 3</vt:lpstr>
      <vt:lpstr>Dados</vt:lpstr>
      <vt:lpstr>Professor Exemplo 4</vt:lpstr>
      <vt:lpstr>Professor Exemplo 5</vt:lpstr>
      <vt:lpstr>Aluno Exemplo 1</vt:lpstr>
      <vt:lpstr>Aluno Exemplo 2</vt:lpstr>
      <vt:lpstr>Aluno Exemplo 3</vt:lpstr>
      <vt:lpstr>Aluno Exemplo 4</vt:lpstr>
      <vt:lpstr>Aluno Exemplo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2025-11-27T12:14:04Z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