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547" documentId="8_{036A4C5D-E35A-4562-9E35-5F88C91985BB}" xr6:coauthVersionLast="47" xr6:coauthVersionMax="47" xr10:uidLastSave="{508BEB07-3241-4AE0-86F4-D2C8C383A484}"/>
  <bookViews>
    <workbookView xWindow="-120" yWindow="-120" windowWidth="20730" windowHeight="11310" tabRatio="857" activeTab="1" xr2:uid="{899214EE-B51D-4446-AC56-B680CE1E289C}"/>
  </bookViews>
  <sheets>
    <sheet name="Dash Vendedores" sheetId="5" r:id="rId1"/>
    <sheet name="Dash Funcionarios" sheetId="11" r:id="rId2"/>
    <sheet name="Tabela Dinamica Dados Vendedor" sheetId="9" r:id="rId3"/>
    <sheet name="Gráfico Masculino e Feminino " sheetId="10" r:id="rId4"/>
    <sheet name="Waffle" sheetId="8" state="hidden" r:id="rId5"/>
    <sheet name="Gráfico Velocímetro" sheetId="6" state="hidden" r:id="rId6"/>
    <sheet name="Dados Vendedor" sheetId="2" r:id="rId7"/>
    <sheet name="PivotTable" sheetId="4" r:id="rId8"/>
    <sheet name="Vendas" sheetId="1" r:id="rId9"/>
    <sheet name="Imagens" sheetId="3" r:id="rId10"/>
  </sheets>
  <definedNames>
    <definedName name="SegmentaçãodeDados_Loja">#N/A</definedName>
    <definedName name="SegmentaçãodeDados_Produto">#N/A</definedName>
    <definedName name="SegmentaçãodeDados_Vendedor">#N/A</definedName>
  </definedNames>
  <calcPr calcId="191029"/>
  <pivotCaches>
    <pivotCache cacheId="6" r:id="rId11"/>
    <pivotCache cacheId="7" r:id="rId12"/>
  </pivotCaches>
  <fileRecoveryPr repairLoad="1"/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1" l="1"/>
  <c r="F3" i="11"/>
  <c r="D2" i="10"/>
  <c r="L12" i="8"/>
  <c r="K12" i="8"/>
  <c r="J12" i="8"/>
  <c r="I12" i="8"/>
  <c r="H12" i="8"/>
  <c r="G12" i="8"/>
  <c r="F12" i="8"/>
  <c r="E12" i="8"/>
  <c r="D12" i="8"/>
  <c r="L11" i="8"/>
  <c r="K11" i="8"/>
  <c r="J11" i="8"/>
  <c r="I11" i="8"/>
  <c r="H11" i="8"/>
  <c r="G11" i="8"/>
  <c r="F11" i="8"/>
  <c r="E11" i="8"/>
  <c r="D11" i="8"/>
  <c r="C11" i="8"/>
  <c r="L10" i="8"/>
  <c r="K10" i="8"/>
  <c r="K9" i="8" s="1"/>
  <c r="K8" i="8" s="1"/>
  <c r="K7" i="8" s="1"/>
  <c r="K6" i="8" s="1"/>
  <c r="K5" i="8" s="1"/>
  <c r="K4" i="8" s="1"/>
  <c r="J10" i="8"/>
  <c r="J9" i="8" s="1"/>
  <c r="J8" i="8" s="1"/>
  <c r="J7" i="8" s="1"/>
  <c r="J6" i="8" s="1"/>
  <c r="J5" i="8" s="1"/>
  <c r="J4" i="8" s="1"/>
  <c r="I10" i="8"/>
  <c r="I9" i="8" s="1"/>
  <c r="I8" i="8" s="1"/>
  <c r="I7" i="8" s="1"/>
  <c r="I6" i="8" s="1"/>
  <c r="I5" i="8" s="1"/>
  <c r="I4" i="8" s="1"/>
  <c r="H10" i="8"/>
  <c r="H9" i="8" s="1"/>
  <c r="H8" i="8" s="1"/>
  <c r="H7" i="8" s="1"/>
  <c r="H6" i="8" s="1"/>
  <c r="H5" i="8" s="1"/>
  <c r="H4" i="8" s="1"/>
  <c r="G10" i="8"/>
  <c r="G9" i="8" s="1"/>
  <c r="G8" i="8" s="1"/>
  <c r="G7" i="8" s="1"/>
  <c r="G6" i="8" s="1"/>
  <c r="G5" i="8" s="1"/>
  <c r="G4" i="8" s="1"/>
  <c r="F10" i="8"/>
  <c r="F9" i="8" s="1"/>
  <c r="F8" i="8" s="1"/>
  <c r="F7" i="8" s="1"/>
  <c r="F6" i="8" s="1"/>
  <c r="F5" i="8" s="1"/>
  <c r="F4" i="8" s="1"/>
  <c r="E10" i="8"/>
  <c r="E9" i="8" s="1"/>
  <c r="E8" i="8" s="1"/>
  <c r="E7" i="8" s="1"/>
  <c r="E6" i="8" s="1"/>
  <c r="E5" i="8" s="1"/>
  <c r="E4" i="8" s="1"/>
  <c r="D10" i="8"/>
  <c r="D9" i="8" s="1"/>
  <c r="D8" i="8" s="1"/>
  <c r="D7" i="8" s="1"/>
  <c r="D6" i="8" s="1"/>
  <c r="D5" i="8" s="1"/>
  <c r="D4" i="8" s="1"/>
  <c r="C10" i="8"/>
  <c r="C9" i="8" s="1"/>
  <c r="C8" i="8" s="1"/>
  <c r="C7" i="8" s="1"/>
  <c r="C6" i="8" s="1"/>
  <c r="C5" i="8" s="1"/>
  <c r="C4" i="8" s="1"/>
  <c r="L9" i="8"/>
  <c r="L8" i="8"/>
  <c r="L7" i="8"/>
  <c r="L6" i="8"/>
  <c r="L5" i="8"/>
  <c r="L4" i="8"/>
  <c r="C12" i="8"/>
  <c r="E13" i="8"/>
  <c r="F13" i="8" s="1"/>
  <c r="G13" i="8" s="1"/>
  <c r="H13" i="8" s="1"/>
  <c r="I13" i="8" s="1"/>
  <c r="J13" i="8" s="1"/>
  <c r="K13" i="8" s="1"/>
  <c r="L13" i="8" s="1"/>
  <c r="D13" i="8"/>
  <c r="N12" i="5" a="1"/>
  <c r="N12" i="5" s="1"/>
  <c r="N13" i="5" a="1"/>
  <c r="N13" i="5" s="1"/>
  <c r="N14" i="5" a="1"/>
  <c r="N14" i="5" s="1"/>
  <c r="N11" i="5" a="1"/>
  <c r="N11" i="5" s="1"/>
  <c r="M12" i="5" a="1"/>
  <c r="M12" i="5" s="1"/>
  <c r="M13" i="5" a="1"/>
  <c r="M13" i="5" s="1"/>
  <c r="M14" i="5" a="1"/>
  <c r="M14" i="5" s="1"/>
  <c r="M11" i="5" a="1"/>
  <c r="M11" i="5" s="1"/>
  <c r="D13" i="6"/>
  <c r="B10" i="6"/>
  <c r="B3" i="6"/>
  <c r="B4" i="6"/>
  <c r="B5" i="6"/>
  <c r="B2" i="6"/>
  <c r="B6" i="10" l="1"/>
  <c r="B2" i="10"/>
  <c r="B12" i="6"/>
  <c r="D10" i="6"/>
  <c r="A1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<sst xmlns="http://schemas.openxmlformats.org/spreadsheetml/2006/main" count="235" uniqueCount="72">
  <si>
    <t>Vendedor</t>
  </si>
  <si>
    <t>Vendedor2</t>
  </si>
  <si>
    <t>Produto</t>
  </si>
  <si>
    <t>Unidades Vendidas</t>
  </si>
  <si>
    <t xml:space="preserve"> Total </t>
  </si>
  <si>
    <t>Leonardo Almeida</t>
  </si>
  <si>
    <t>Eliane Moreira</t>
  </si>
  <si>
    <t>Nicolas Pereira</t>
  </si>
  <si>
    <t>Camisa Masculina</t>
  </si>
  <si>
    <t>Amanda Martins</t>
  </si>
  <si>
    <t>Bermuda Masculino</t>
  </si>
  <si>
    <t>Paulo Santos</t>
  </si>
  <si>
    <t>Camisa Masculina Festa Balada</t>
  </si>
  <si>
    <t>Aline Rosa</t>
  </si>
  <si>
    <t>Bota Masculina</t>
  </si>
  <si>
    <t>Jaqueta Masculina Preta</t>
  </si>
  <si>
    <t>Bolsa de Trabalho</t>
  </si>
  <si>
    <t>Kit de Pinceis de Maquiagem</t>
  </si>
  <si>
    <t>Vestido Infantil</t>
  </si>
  <si>
    <t>Sapato Social</t>
  </si>
  <si>
    <t>Sapatilha Sapato</t>
  </si>
  <si>
    <t>Colar Pingente</t>
  </si>
  <si>
    <t>Angela Maria</t>
  </si>
  <si>
    <t>Carlos Moreira</t>
  </si>
  <si>
    <t>Chinelo</t>
  </si>
  <si>
    <t>Tênis Feminino</t>
  </si>
  <si>
    <t>Calça Feminina Jogger</t>
  </si>
  <si>
    <t>Calça Bailarina</t>
  </si>
  <si>
    <t>Camisa Térmica</t>
  </si>
  <si>
    <t>Boné</t>
  </si>
  <si>
    <t>Relógio</t>
  </si>
  <si>
    <t>Valor Unitário</t>
  </si>
  <si>
    <t>Loja</t>
  </si>
  <si>
    <t>Loja2</t>
  </si>
  <si>
    <t>Sexo</t>
  </si>
  <si>
    <t>Quantidade</t>
  </si>
  <si>
    <t xml:space="preserve"> Vendas </t>
  </si>
  <si>
    <t>Santa Catarina</t>
  </si>
  <si>
    <t>Feminino</t>
  </si>
  <si>
    <t>Masculino</t>
  </si>
  <si>
    <t>Rio de Janeiro</t>
  </si>
  <si>
    <t>São Paulo</t>
  </si>
  <si>
    <t>Total Geral</t>
  </si>
  <si>
    <t>Soma de Unidades Vendidas</t>
  </si>
  <si>
    <t>Soma de Valor Unitário</t>
  </si>
  <si>
    <t xml:space="preserve">Soma de  Total </t>
  </si>
  <si>
    <r>
      <t>Total</t>
    </r>
    <r>
      <rPr>
        <sz val="11"/>
        <color rgb="FFFFFFFF"/>
        <rFont val="Calibri"/>
        <family val="2"/>
        <scheme val="minor"/>
      </rPr>
      <t xml:space="preserve"> </t>
    </r>
    <r>
      <rPr>
        <sz val="16"/>
        <color rgb="FFFFFFFF"/>
        <rFont val="Calibri"/>
        <family val="2"/>
        <scheme val="minor"/>
      </rPr>
      <t>Vendas</t>
    </r>
  </si>
  <si>
    <t>Marcador</t>
  </si>
  <si>
    <t>Ruim</t>
  </si>
  <si>
    <t>Bom</t>
  </si>
  <si>
    <t>META</t>
  </si>
  <si>
    <t>Regular</t>
  </si>
  <si>
    <t>Ponteiro</t>
  </si>
  <si>
    <t>Valor da Ponta Ponteiro</t>
  </si>
  <si>
    <t>Tamanho Ponteiro</t>
  </si>
  <si>
    <t>Complemento</t>
  </si>
  <si>
    <t xml:space="preserve">Ótimo </t>
  </si>
  <si>
    <t>Meta Atingida</t>
  </si>
  <si>
    <t>Quantidade Vendida</t>
  </si>
  <si>
    <t>Total</t>
  </si>
  <si>
    <t>Meta Vendas 2.000</t>
  </si>
  <si>
    <t>Rótulos de Linha</t>
  </si>
  <si>
    <t>DASHBOARD TOTAL VENDAS POR VENDEDOR</t>
  </si>
  <si>
    <t>Soma de Quantidade</t>
  </si>
  <si>
    <t xml:space="preserve">Soma de  Vendas </t>
  </si>
  <si>
    <t>Vendas Femininas</t>
  </si>
  <si>
    <t>Vendas</t>
  </si>
  <si>
    <t>Atual</t>
  </si>
  <si>
    <t>Vendas Masculinas</t>
  </si>
  <si>
    <t xml:space="preserve">Vendedor </t>
  </si>
  <si>
    <t>Qtd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</si>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</sst>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0.0%"/>
    <numFmt numFmtId="166" formatCode="#,##0.00_ ;\-#,##0.00\ "/>
    <numFmt numFmtId="167" formatCode="0.00;[Red]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8" fontId="0" fillId="0" borderId="0" xfId="0" applyNumberFormat="1"/>
    <xf numFmtId="0" fontId="0" fillId="0" borderId="0" xfId="0" pivotButton="1"/>
    <xf numFmtId="0" fontId="2" fillId="0" borderId="0" xfId="0" applyFont="1"/>
    <xf numFmtId="0" fontId="3" fillId="0" borderId="0" xfId="0" applyFont="1" applyAlignment="1">
      <alignment horizontal="center" vertical="center"/>
    </xf>
    <xf numFmtId="44" fontId="0" fillId="0" borderId="0" xfId="2" applyFont="1"/>
    <xf numFmtId="164" fontId="0" fillId="0" borderId="0" xfId="2" applyNumberFormat="1" applyFont="1"/>
    <xf numFmtId="9" fontId="0" fillId="0" borderId="0" xfId="3" applyFont="1"/>
    <xf numFmtId="44" fontId="0" fillId="0" borderId="0" xfId="2" applyFont="1" applyAlignment="1">
      <alignment horizontal="right"/>
    </xf>
    <xf numFmtId="0" fontId="0" fillId="2" borderId="1" xfId="0" applyFill="1" applyBorder="1"/>
    <xf numFmtId="44" fontId="0" fillId="2" borderId="1" xfId="2" applyFont="1" applyFill="1" applyBorder="1" applyAlignment="1">
      <alignment horizontal="right"/>
    </xf>
    <xf numFmtId="0" fontId="0" fillId="0" borderId="0" xfId="0" applyAlignment="1">
      <alignment horizontal="left"/>
    </xf>
    <xf numFmtId="9" fontId="0" fillId="0" borderId="0" xfId="0" applyNumberFormat="1"/>
    <xf numFmtId="9" fontId="6" fillId="3" borderId="2" xfId="3" applyFont="1" applyFill="1" applyBorder="1"/>
    <xf numFmtId="0" fontId="5" fillId="0" borderId="0" xfId="0" applyFont="1" applyAlignment="1">
      <alignment horizontal="center"/>
    </xf>
    <xf numFmtId="44" fontId="5" fillId="0" borderId="0" xfId="2" applyFont="1" applyFill="1" applyAlignment="1">
      <alignment horizontal="center"/>
    </xf>
    <xf numFmtId="0" fontId="0" fillId="2" borderId="0" xfId="0" applyFill="1" applyAlignment="1">
      <alignment horizontal="right"/>
    </xf>
    <xf numFmtId="0" fontId="0" fillId="4" borderId="0" xfId="0" applyFill="1"/>
    <xf numFmtId="165" fontId="0" fillId="0" borderId="0" xfId="3" applyNumberFormat="1" applyFont="1"/>
    <xf numFmtId="0" fontId="7" fillId="0" borderId="0" xfId="0" applyFont="1" applyAlignment="1">
      <alignment horizontal="center"/>
    </xf>
    <xf numFmtId="166" fontId="8" fillId="0" borderId="0" xfId="2" applyNumberFormat="1" applyFont="1" applyAlignment="1">
      <alignment horizontal="center" vertical="center"/>
    </xf>
    <xf numFmtId="167" fontId="8" fillId="0" borderId="0" xfId="0" applyNumberFormat="1" applyFont="1" applyAlignment="1">
      <alignment horizontal="center"/>
    </xf>
  </cellXfs>
  <cellStyles count="4">
    <cellStyle name="Moeda" xfId="2" builtinId="4"/>
    <cellStyle name="Moeda 2" xfId="1" xr:uid="{D20B583B-A55C-4FA0-80A7-B1D30624E25E}"/>
    <cellStyle name="Normal" xfId="0" builtinId="0"/>
    <cellStyle name="Porcentagem" xfId="3" builtinId="5"/>
  </cellStyles>
  <dxfs count="3">
    <dxf>
      <font>
        <color rgb="FF00B050"/>
      </font>
      <fill>
        <patternFill>
          <b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2" formatCode="&quot;R$&quot;\ #,##0.00;[Red]\-&quot;R$&quot;\ #,##0.00"/>
    </dxf>
    <dxf>
      <numFmt numFmtId="12" formatCode="&quot;R$&quot;\ #,##0.00;[Red]\-&quot;R$&quot;\ #,##0.00"/>
    </dxf>
  </dxfs>
  <tableStyles count="0" defaultTableStyle="TableStyleMedium2" defaultPivotStyle="PivotStyleLight16"/>
  <colors>
    <mruColors>
      <color rgb="FFFF33CC"/>
      <color rgb="FF2791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image" Target="../media/image24.png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image" Target="../media/image26.png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Masculino e Feminino '!$B$1</c:f>
              <c:strCache>
                <c:ptCount val="1"/>
                <c:pt idx="0">
                  <c:v>Atual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val>
            <c:numRef>
              <c:f>'Gráfico Masculino e Feminino '!$B$2</c:f>
              <c:numCache>
                <c:formatCode>0.0%</c:formatCode>
                <c:ptCount val="1"/>
                <c:pt idx="0">
                  <c:v>0.53291887014055228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F-4011-B95F-CFEC3FF4ABC6}"/>
            </c:ext>
          </c:extLst>
        </c:ser>
        <c:ser>
          <c:idx val="1"/>
          <c:order val="1"/>
          <c:tx>
            <c:strRef>
              <c:f>'Gráfico Masculino e Feminino '!$C$1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6F-4011-B95F-CFEC3FF4ABC6}"/>
              </c:ext>
            </c:extLst>
          </c:dPt>
          <c:val>
            <c:numRef>
              <c:f>'Gráfico Masculino e Feminino '!$C$2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6F-4011-B95F-CFEC3FF4A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63080351"/>
        <c:axId val="1363081311"/>
      </c:barChart>
      <c:catAx>
        <c:axId val="1363080351"/>
        <c:scaling>
          <c:orientation val="minMax"/>
        </c:scaling>
        <c:delete val="1"/>
        <c:axPos val="b"/>
        <c:majorTickMark val="none"/>
        <c:minorTickMark val="none"/>
        <c:tickLblPos val="nextTo"/>
        <c:crossAx val="1363081311"/>
        <c:crosses val="autoZero"/>
        <c:auto val="1"/>
        <c:lblAlgn val="ctr"/>
        <c:lblOffset val="100"/>
        <c:noMultiLvlLbl val="0"/>
      </c:catAx>
      <c:valAx>
        <c:axId val="1363081311"/>
        <c:scaling>
          <c:orientation val="minMax"/>
          <c:max val="1"/>
        </c:scaling>
        <c:delete val="1"/>
        <c:axPos val="l"/>
        <c:numFmt formatCode="0.0%" sourceLinked="1"/>
        <c:majorTickMark val="none"/>
        <c:minorTickMark val="none"/>
        <c:tickLblPos val="nextTo"/>
        <c:crossAx val="136308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Masculino e Feminino '!$B$5</c:f>
              <c:strCache>
                <c:ptCount val="1"/>
                <c:pt idx="0">
                  <c:v>Atual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val>
            <c:numRef>
              <c:f>'Gráfico Masculino e Feminino '!$B$6</c:f>
              <c:numCache>
                <c:formatCode>0.0%</c:formatCode>
                <c:ptCount val="1"/>
                <c:pt idx="0">
                  <c:v>0.46708112985944777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D-4FDE-9C84-7E860B14F361}"/>
            </c:ext>
          </c:extLst>
        </c:ser>
        <c:ser>
          <c:idx val="1"/>
          <c:order val="1"/>
          <c:tx>
            <c:strRef>
              <c:f>'Gráfico Masculino e Feminino 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27D-4FDE-9C84-7E860B14F361}"/>
              </c:ext>
            </c:extLst>
          </c:dPt>
          <c:val>
            <c:numRef>
              <c:f>'Gráfico Masculino e Feminino '!$C$6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7D-4FDE-9C84-7E860B14F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0869647"/>
        <c:axId val="1200870127"/>
      </c:barChart>
      <c:catAx>
        <c:axId val="1200869647"/>
        <c:scaling>
          <c:orientation val="minMax"/>
        </c:scaling>
        <c:delete val="1"/>
        <c:axPos val="b"/>
        <c:majorTickMark val="none"/>
        <c:minorTickMark val="none"/>
        <c:tickLblPos val="nextTo"/>
        <c:crossAx val="1200870127"/>
        <c:crosses val="autoZero"/>
        <c:auto val="1"/>
        <c:lblAlgn val="ctr"/>
        <c:lblOffset val="100"/>
        <c:noMultiLvlLbl val="0"/>
      </c:catAx>
      <c:valAx>
        <c:axId val="1200870127"/>
        <c:scaling>
          <c:orientation val="minMax"/>
          <c:max val="1"/>
        </c:scaling>
        <c:delete val="1"/>
        <c:axPos val="l"/>
        <c:numFmt formatCode="0.0%" sourceLinked="1"/>
        <c:majorTickMark val="none"/>
        <c:minorTickMark val="none"/>
        <c:tickLblPos val="nextTo"/>
        <c:crossAx val="120086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44A-42A1-A190-584446B881D8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4A-42A1-A190-584446B881D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44A-42A1-A190-584446B881D8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4A-42A1-A190-584446B881D8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4A-42A1-A190-584446B881D8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4A-42A1-A190-584446B881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'Gráfico Velocímetro'!$A$2:$A$6</c:f>
              <c:strCache>
                <c:ptCount val="5"/>
                <c:pt idx="0">
                  <c:v>Ruim</c:v>
                </c:pt>
                <c:pt idx="1">
                  <c:v>Regular</c:v>
                </c:pt>
                <c:pt idx="2">
                  <c:v>Bom</c:v>
                </c:pt>
                <c:pt idx="3">
                  <c:v>Ótimo </c:v>
                </c:pt>
                <c:pt idx="4">
                  <c:v>META</c:v>
                </c:pt>
              </c:strCache>
            </c:strRef>
          </c:cat>
          <c:val>
            <c:numRef>
              <c:f>'Gráfico Velocímetro'!$B$2:$B$6</c:f>
              <c:numCache>
                <c:formatCode>_("R$"* #,##0.00_);_("R$"* \(#,##0.00\);_("R$"* "-"??_);_(@_)</c:formatCode>
                <c:ptCount val="5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A-42A1-A190-584446B88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tx>
            <c:strRef>
              <c:f>'Gráfico Velocímetro'!$A$9</c:f>
              <c:strCache>
                <c:ptCount val="1"/>
                <c:pt idx="0">
                  <c:v>Ponteiro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44A-42A1-A190-584446B881D8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44A-42A1-A190-584446B881D8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44A-42A1-A190-584446B881D8}"/>
              </c:ext>
            </c:extLst>
          </c:dPt>
          <c:val>
            <c:numRef>
              <c:f>'Gráfico Velocímetro'!$B$10:$B$12</c:f>
              <c:numCache>
                <c:formatCode>_("R$"* #,##0.00_);_("R$"* \(#,##0.00\);_("R$"* "-"??_);_(@_)</c:formatCode>
                <c:ptCount val="3"/>
                <c:pt idx="0">
                  <c:v>2331.7399999999998</c:v>
                </c:pt>
                <c:pt idx="1">
                  <c:v>30</c:v>
                </c:pt>
                <c:pt idx="2" formatCode="_-[$R$-416]\ * #,##0.00_-;\-[$R$-416]\ * #,##0.00_-;_-[$R$-416]\ * &quot;-&quot;??_-;_-@_-">
                  <c:v>1638.2600000000002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4A-42A1-A190-584446B88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Vendas Vendedor - Primeiros Passos.xlsx]PivotTable!Tabela dinâmica2</c:name>
    <c:fmtId val="16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PivotTable!$K$3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PivotTable!$J$4:$J$9</c:f>
              <c:strCache>
                <c:ptCount val="5"/>
                <c:pt idx="0">
                  <c:v>Bermuda Masculino</c:v>
                </c:pt>
                <c:pt idx="1">
                  <c:v>Camisa Masculina</c:v>
                </c:pt>
                <c:pt idx="2">
                  <c:v>Camisa Térmica</c:v>
                </c:pt>
                <c:pt idx="3">
                  <c:v>Kit de Pinceis de Maquiagem</c:v>
                </c:pt>
                <c:pt idx="4">
                  <c:v>Sapato Social</c:v>
                </c:pt>
              </c:strCache>
            </c:strRef>
          </c:cat>
          <c:val>
            <c:numRef>
              <c:f>PivotTable!$K$4:$K$9</c:f>
              <c:numCache>
                <c:formatCode>"R$"#,##0.00_);[Red]\("R$"#,##0.00\)</c:formatCode>
                <c:ptCount val="5"/>
                <c:pt idx="0">
                  <c:v>891.36</c:v>
                </c:pt>
                <c:pt idx="1">
                  <c:v>153.4</c:v>
                </c:pt>
                <c:pt idx="2">
                  <c:v>83.8</c:v>
                </c:pt>
                <c:pt idx="3">
                  <c:v>466.08</c:v>
                </c:pt>
                <c:pt idx="4">
                  <c:v>737.1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F-4A9E-86DB-441BBDE80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006319"/>
        <c:axId val="1199006799"/>
      </c:areaChart>
      <c:catAx>
        <c:axId val="11990063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9006799"/>
        <c:crosses val="autoZero"/>
        <c:auto val="1"/>
        <c:lblAlgn val="ctr"/>
        <c:lblOffset val="100"/>
        <c:noMultiLvlLbl val="0"/>
      </c:catAx>
      <c:valAx>
        <c:axId val="1199006799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9006319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Vendas Vendedor - Primeiros Passos.xlsx]PivotTable!Tabela dinâmica2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PivotTable!$J$4:$J$9</c:f>
              <c:strCache>
                <c:ptCount val="5"/>
                <c:pt idx="0">
                  <c:v>Bermuda Masculino</c:v>
                </c:pt>
                <c:pt idx="1">
                  <c:v>Camisa Masculina</c:v>
                </c:pt>
                <c:pt idx="2">
                  <c:v>Camisa Térmica</c:v>
                </c:pt>
                <c:pt idx="3">
                  <c:v>Kit de Pinceis de Maquiagem</c:v>
                </c:pt>
                <c:pt idx="4">
                  <c:v>Sapato Social</c:v>
                </c:pt>
              </c:strCache>
            </c:strRef>
          </c:cat>
          <c:val>
            <c:numRef>
              <c:f>PivotTable!$K$4:$K$9</c:f>
              <c:numCache>
                <c:formatCode>"R$"#,##0.00_);[Red]\("R$"#,##0.00\)</c:formatCode>
                <c:ptCount val="5"/>
                <c:pt idx="0">
                  <c:v>891.36</c:v>
                </c:pt>
                <c:pt idx="1">
                  <c:v>153.4</c:v>
                </c:pt>
                <c:pt idx="2">
                  <c:v>83.8</c:v>
                </c:pt>
                <c:pt idx="3">
                  <c:v>466.08</c:v>
                </c:pt>
                <c:pt idx="4">
                  <c:v>737.1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8-45C0-8EF0-DBDEEEA1A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837487"/>
        <c:axId val="1200821167"/>
      </c:barChart>
      <c:catAx>
        <c:axId val="120083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0821167"/>
        <c:crosses val="autoZero"/>
        <c:auto val="1"/>
        <c:lblAlgn val="ctr"/>
        <c:lblOffset val="100"/>
        <c:noMultiLvlLbl val="0"/>
      </c:catAx>
      <c:valAx>
        <c:axId val="1200821167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20083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svg"/><Relationship Id="rId9" Type="http://schemas.openxmlformats.org/officeDocument/2006/relationships/image" Target="../media/image9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svg"/><Relationship Id="rId3" Type="http://schemas.openxmlformats.org/officeDocument/2006/relationships/image" Target="../media/image21.png"/><Relationship Id="rId7" Type="http://schemas.openxmlformats.org/officeDocument/2006/relationships/image" Target="../media/image27.png"/><Relationship Id="rId2" Type="http://schemas.openxmlformats.org/officeDocument/2006/relationships/image" Target="../media/image20.svg"/><Relationship Id="rId1" Type="http://schemas.openxmlformats.org/officeDocument/2006/relationships/image" Target="../media/image19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10" Type="http://schemas.openxmlformats.org/officeDocument/2006/relationships/image" Target="../media/image30.svg"/><Relationship Id="rId4" Type="http://schemas.openxmlformats.org/officeDocument/2006/relationships/image" Target="../media/image22.svg"/><Relationship Id="rId9" Type="http://schemas.openxmlformats.org/officeDocument/2006/relationships/image" Target="../media/image2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svg"/><Relationship Id="rId3" Type="http://schemas.openxmlformats.org/officeDocument/2006/relationships/image" Target="../media/image33.png"/><Relationship Id="rId7" Type="http://schemas.openxmlformats.org/officeDocument/2006/relationships/image" Target="../media/image37.png"/><Relationship Id="rId2" Type="http://schemas.openxmlformats.org/officeDocument/2006/relationships/image" Target="../media/image32.svg"/><Relationship Id="rId1" Type="http://schemas.openxmlformats.org/officeDocument/2006/relationships/image" Target="../media/image31.png"/><Relationship Id="rId6" Type="http://schemas.openxmlformats.org/officeDocument/2006/relationships/image" Target="../media/image36.svg"/><Relationship Id="rId5" Type="http://schemas.openxmlformats.org/officeDocument/2006/relationships/image" Target="../media/image35.png"/><Relationship Id="rId10" Type="http://schemas.openxmlformats.org/officeDocument/2006/relationships/image" Target="../media/image40.svg"/><Relationship Id="rId4" Type="http://schemas.openxmlformats.org/officeDocument/2006/relationships/image" Target="../media/image34.svg"/><Relationship Id="rId9" Type="http://schemas.openxmlformats.org/officeDocument/2006/relationships/image" Target="../media/image39.sv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emf"/><Relationship Id="rId1" Type="http://schemas.openxmlformats.org/officeDocument/2006/relationships/image" Target="../media/image1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3</xdr:row>
      <xdr:rowOff>76200</xdr:rowOff>
    </xdr:from>
    <xdr:to>
      <xdr:col>7</xdr:col>
      <xdr:colOff>533400</xdr:colOff>
      <xdr:row>7</xdr:row>
      <xdr:rowOff>257175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E1D13CF4-CEEC-1FF9-5738-EF4C0C111D63}"/>
            </a:ext>
          </a:extLst>
        </xdr:cNvPr>
        <xdr:cNvSpPr/>
      </xdr:nvSpPr>
      <xdr:spPr>
        <a:xfrm>
          <a:off x="2381250" y="657225"/>
          <a:ext cx="2419350" cy="942975"/>
        </a:xfrm>
        <a:prstGeom prst="roundRect">
          <a:avLst>
            <a:gd name="adj" fmla="val 42930"/>
          </a:avLst>
        </a:prstGeom>
        <a:solidFill>
          <a:srgbClr val="27913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</xdr:col>
      <xdr:colOff>95250</xdr:colOff>
      <xdr:row>3</xdr:row>
      <xdr:rowOff>114300</xdr:rowOff>
    </xdr:from>
    <xdr:to>
      <xdr:col>5</xdr:col>
      <xdr:colOff>190500</xdr:colOff>
      <xdr:row>7</xdr:row>
      <xdr:rowOff>82550</xdr:rowOff>
    </xdr:to>
    <xdr:pic>
      <xdr:nvPicPr>
        <xdr:cNvPr id="3" name="Graphic 3" descr="Money">
          <a:extLst>
            <a:ext uri="{FF2B5EF4-FFF2-40B4-BE49-F238E27FC236}">
              <a16:creationId xmlns:a16="http://schemas.microsoft.com/office/drawing/2014/main" id="{0459CA48-07BA-4CD6-B378-A08EBCB58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33650" y="695325"/>
          <a:ext cx="704850" cy="730250"/>
        </a:xfrm>
        <a:prstGeom prst="rect">
          <a:avLst/>
        </a:prstGeom>
      </xdr:spPr>
    </xdr:pic>
    <xdr:clientData/>
  </xdr:twoCellAnchor>
  <xdr:twoCellAnchor>
    <xdr:from>
      <xdr:col>5</xdr:col>
      <xdr:colOff>238125</xdr:colOff>
      <xdr:row>3</xdr:row>
      <xdr:rowOff>57149</xdr:rowOff>
    </xdr:from>
    <xdr:to>
      <xdr:col>7</xdr:col>
      <xdr:colOff>361950</xdr:colOff>
      <xdr:row>6</xdr:row>
      <xdr:rowOff>66674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FBC24094-3D71-7EAC-E0E7-7AFC9C6BDABE}"/>
            </a:ext>
          </a:extLst>
        </xdr:cNvPr>
        <xdr:cNvSpPr txBox="1"/>
      </xdr:nvSpPr>
      <xdr:spPr>
        <a:xfrm>
          <a:off x="3286125" y="638174"/>
          <a:ext cx="1343025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>
              <a:solidFill>
                <a:schemeClr val="bg1"/>
              </a:solidFill>
            </a:rPr>
            <a:t>Total</a:t>
          </a:r>
          <a:r>
            <a:rPr lang="pt-BR" sz="1100">
              <a:solidFill>
                <a:schemeClr val="bg1"/>
              </a:solidFill>
            </a:rPr>
            <a:t> </a:t>
          </a:r>
          <a:r>
            <a:rPr lang="pt-BR" sz="1600">
              <a:solidFill>
                <a:schemeClr val="bg1"/>
              </a:solidFill>
            </a:rPr>
            <a:t>Vendas</a:t>
          </a:r>
        </a:p>
        <a:p>
          <a:endParaRPr lang="pt-BR" sz="1100"/>
        </a:p>
      </xdr:txBody>
    </xdr:sp>
    <xdr:clientData/>
  </xdr:twoCellAnchor>
  <xdr:twoCellAnchor>
    <xdr:from>
      <xdr:col>8</xdr:col>
      <xdr:colOff>38100</xdr:colOff>
      <xdr:row>3</xdr:row>
      <xdr:rowOff>66675</xdr:rowOff>
    </xdr:from>
    <xdr:to>
      <xdr:col>12</xdr:col>
      <xdr:colOff>19050</xdr:colOff>
      <xdr:row>7</xdr:row>
      <xdr:rowOff>247650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355F9F8-B9B9-4199-B72F-FFF509E3DBFF}"/>
            </a:ext>
          </a:extLst>
        </xdr:cNvPr>
        <xdr:cNvSpPr/>
      </xdr:nvSpPr>
      <xdr:spPr>
        <a:xfrm>
          <a:off x="4914900" y="647700"/>
          <a:ext cx="2419350" cy="942975"/>
        </a:xfrm>
        <a:prstGeom prst="roundRect">
          <a:avLst>
            <a:gd name="adj" fmla="val 42930"/>
          </a:avLst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8</xdr:col>
      <xdr:colOff>200025</xdr:colOff>
      <xdr:row>3</xdr:row>
      <xdr:rowOff>0</xdr:rowOff>
    </xdr:from>
    <xdr:to>
      <xdr:col>9</xdr:col>
      <xdr:colOff>403225</xdr:colOff>
      <xdr:row>7</xdr:row>
      <xdr:rowOff>38100</xdr:rowOff>
    </xdr:to>
    <xdr:pic>
      <xdr:nvPicPr>
        <xdr:cNvPr id="7" name="Graphic 5" descr="Clothes hanger">
          <a:extLst>
            <a:ext uri="{FF2B5EF4-FFF2-40B4-BE49-F238E27FC236}">
              <a16:creationId xmlns:a16="http://schemas.microsoft.com/office/drawing/2014/main" id="{F115BD56-C318-45B6-B0A8-C03F61142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076825" y="571500"/>
          <a:ext cx="812800" cy="800100"/>
        </a:xfrm>
        <a:prstGeom prst="rect">
          <a:avLst/>
        </a:prstGeom>
      </xdr:spPr>
    </xdr:pic>
    <xdr:clientData/>
  </xdr:twoCellAnchor>
  <xdr:twoCellAnchor>
    <xdr:from>
      <xdr:col>9</xdr:col>
      <xdr:colOff>409575</xdr:colOff>
      <xdr:row>3</xdr:row>
      <xdr:rowOff>76200</xdr:rowOff>
    </xdr:from>
    <xdr:to>
      <xdr:col>11</xdr:col>
      <xdr:colOff>381000</xdr:colOff>
      <xdr:row>4</xdr:row>
      <xdr:rowOff>152400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B70A4171-C44D-2095-13A0-9A5A86FED5B2}"/>
            </a:ext>
          </a:extLst>
        </xdr:cNvPr>
        <xdr:cNvSpPr txBox="1"/>
      </xdr:nvSpPr>
      <xdr:spPr>
        <a:xfrm>
          <a:off x="5895975" y="647700"/>
          <a:ext cx="11906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solidFill>
                <a:schemeClr val="bg1"/>
              </a:solidFill>
            </a:rPr>
            <a:t>Quantidade</a:t>
          </a:r>
        </a:p>
      </xdr:txBody>
    </xdr:sp>
    <xdr:clientData/>
  </xdr:twoCellAnchor>
  <xdr:twoCellAnchor editAs="oneCell">
    <xdr:from>
      <xdr:col>0</xdr:col>
      <xdr:colOff>76200</xdr:colOff>
      <xdr:row>3</xdr:row>
      <xdr:rowOff>180975</xdr:rowOff>
    </xdr:from>
    <xdr:to>
      <xdr:col>3</xdr:col>
      <xdr:colOff>76200</xdr:colOff>
      <xdr:row>16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Vendedor">
              <a:extLst>
                <a:ext uri="{FF2B5EF4-FFF2-40B4-BE49-F238E27FC236}">
                  <a16:creationId xmlns:a16="http://schemas.microsoft.com/office/drawing/2014/main" id="{A99CF0CA-1EBC-4D25-BF8D-EDBEF52ACA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7334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8</xdr:col>
      <xdr:colOff>285750</xdr:colOff>
      <xdr:row>16</xdr:row>
      <xdr:rowOff>123824</xdr:rowOff>
    </xdr:from>
    <xdr:to>
      <xdr:col>9</xdr:col>
      <xdr:colOff>552450</xdr:colOff>
      <xdr:row>18</xdr:row>
      <xdr:rowOff>38099</xdr:rowOff>
    </xdr:to>
    <xdr:sp macro="" textlink="$D$10">
      <xdr:nvSpPr>
        <xdr:cNvPr id="13" name="CaixaDeTexto 12">
          <a:extLst>
            <a:ext uri="{FF2B5EF4-FFF2-40B4-BE49-F238E27FC236}">
              <a16:creationId xmlns:a16="http://schemas.microsoft.com/office/drawing/2014/main" id="{E61E97AC-F5F0-481E-BCD5-710A82500DAB}"/>
            </a:ext>
          </a:extLst>
        </xdr:cNvPr>
        <xdr:cNvSpPr txBox="1"/>
      </xdr:nvSpPr>
      <xdr:spPr>
        <a:xfrm>
          <a:off x="8153400" y="1457324"/>
          <a:ext cx="8763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D10514C-F408-4BBA-828D-C78F1E643995}" type="TxLink">
            <a:rPr lang="en-US" sz="18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pt-BR" sz="18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266700</xdr:colOff>
          <xdr:row>3</xdr:row>
          <xdr:rowOff>47625</xdr:rowOff>
        </xdr:from>
        <xdr:to>
          <xdr:col>14</xdr:col>
          <xdr:colOff>533400</xdr:colOff>
          <xdr:row>8</xdr:row>
          <xdr:rowOff>171450</xdr:rowOff>
        </xdr:to>
        <xdr:pic>
          <xdr:nvPicPr>
            <xdr:cNvPr id="16" name="Imagem 15">
              <a:extLst>
                <a:ext uri="{FF2B5EF4-FFF2-40B4-BE49-F238E27FC236}">
                  <a16:creationId xmlns:a16="http://schemas.microsoft.com/office/drawing/2014/main" id="{B0FD7879-0A5D-D9A5-5265-03E6BCE7698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Gráfico Velocímetro'!$H$5:$O$10" spid="_x0000_s1035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753100" y="628650"/>
              <a:ext cx="4886325" cy="1152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9</xdr:col>
      <xdr:colOff>428625</xdr:colOff>
      <xdr:row>5</xdr:row>
      <xdr:rowOff>28575</xdr:rowOff>
    </xdr:from>
    <xdr:to>
      <xdr:col>11</xdr:col>
      <xdr:colOff>447675</xdr:colOff>
      <xdr:row>6</xdr:row>
      <xdr:rowOff>104775</xdr:rowOff>
    </xdr:to>
    <xdr:sp macro="" textlink="'Gráfico Velocímetro'!D13">
      <xdr:nvSpPr>
        <xdr:cNvPr id="17" name="CaixaDeTexto 16">
          <a:extLst>
            <a:ext uri="{FF2B5EF4-FFF2-40B4-BE49-F238E27FC236}">
              <a16:creationId xmlns:a16="http://schemas.microsoft.com/office/drawing/2014/main" id="{48249D14-BF95-B612-BA27-3AD832BDDAF1}"/>
            </a:ext>
          </a:extLst>
        </xdr:cNvPr>
        <xdr:cNvSpPr txBox="1"/>
      </xdr:nvSpPr>
      <xdr:spPr>
        <a:xfrm>
          <a:off x="5915025" y="981075"/>
          <a:ext cx="12382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481A328-A94A-4C5A-B56E-EB0BA5C85AA5}" type="TxLink">
            <a:rPr lang="en-US" sz="18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22</a:t>
          </a:fld>
          <a:endParaRPr lang="pt-BR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104775</xdr:colOff>
      <xdr:row>5</xdr:row>
      <xdr:rowOff>152400</xdr:rowOff>
    </xdr:from>
    <xdr:to>
      <xdr:col>7</xdr:col>
      <xdr:colOff>428625</xdr:colOff>
      <xdr:row>7</xdr:row>
      <xdr:rowOff>57150</xdr:rowOff>
    </xdr:to>
    <xdr:sp macro="" textlink="'Gráfico Velocímetro'!B10">
      <xdr:nvSpPr>
        <xdr:cNvPr id="18" name="CaixaDeTexto 17">
          <a:extLst>
            <a:ext uri="{FF2B5EF4-FFF2-40B4-BE49-F238E27FC236}">
              <a16:creationId xmlns:a16="http://schemas.microsoft.com/office/drawing/2014/main" id="{B8F4ADD1-696D-8BCF-F2BF-43BC728A4391}"/>
            </a:ext>
          </a:extLst>
        </xdr:cNvPr>
        <xdr:cNvSpPr txBox="1"/>
      </xdr:nvSpPr>
      <xdr:spPr>
        <a:xfrm>
          <a:off x="3152775" y="1114425"/>
          <a:ext cx="15430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575A442-3B17-44B0-80DA-1BA9D3863FE8}" type="TxLink">
            <a:rPr lang="en-US" sz="18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R$ 2.331,74 </a:t>
          </a:fld>
          <a:endParaRPr lang="pt-BR" sz="1800">
            <a:solidFill>
              <a:schemeClr val="bg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257175</xdr:colOff>
          <xdr:row>3</xdr:row>
          <xdr:rowOff>66675</xdr:rowOff>
        </xdr:from>
        <xdr:to>
          <xdr:col>14</xdr:col>
          <xdr:colOff>523875</xdr:colOff>
          <xdr:row>9</xdr:row>
          <xdr:rowOff>0</xdr:rowOff>
        </xdr:to>
        <xdr:pic>
          <xdr:nvPicPr>
            <xdr:cNvPr id="5127" name="Imagem 15">
              <a:extLst>
                <a:ext uri="{FF2B5EF4-FFF2-40B4-BE49-F238E27FC236}">
                  <a16:creationId xmlns:a16="http://schemas.microsoft.com/office/drawing/2014/main" id="{4FD8C97E-153D-A009-1602-04A057471A8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Gráfico Velocímetro'!$H$5:$O$10" spid="_x0000_s1036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5743575" y="647700"/>
              <a:ext cx="4886325" cy="1152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</xdr:row>
          <xdr:rowOff>161925</xdr:rowOff>
        </xdr:from>
        <xdr:to>
          <xdr:col>12</xdr:col>
          <xdr:colOff>342900</xdr:colOff>
          <xdr:row>22</xdr:row>
          <xdr:rowOff>161925</xdr:rowOff>
        </xdr:to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BE99D260-D9F0-2284-F887-5622CC3D85F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Table!$G$13:$M$26" spid="_x0000_s1037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1847850" y="1743075"/>
              <a:ext cx="5810250" cy="2667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3</xdr:col>
      <xdr:colOff>381000</xdr:colOff>
      <xdr:row>8</xdr:row>
      <xdr:rowOff>152400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ED7D10E1-7F1F-4EF0-0CBE-2D9FAEA09C78}"/>
            </a:ext>
          </a:extLst>
        </xdr:cNvPr>
        <xdr:cNvSpPr txBox="1"/>
      </xdr:nvSpPr>
      <xdr:spPr>
        <a:xfrm>
          <a:off x="2209800" y="1762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3</xdr:col>
      <xdr:colOff>209550</xdr:colOff>
      <xdr:row>8</xdr:row>
      <xdr:rowOff>47625</xdr:rowOff>
    </xdr:from>
    <xdr:to>
      <xdr:col>9</xdr:col>
      <xdr:colOff>0</xdr:colOff>
      <xdr:row>9</xdr:row>
      <xdr:rowOff>161925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A34B0822-AD5B-C4B2-C361-EBA0FAFDC853}"/>
            </a:ext>
          </a:extLst>
        </xdr:cNvPr>
        <xdr:cNvSpPr txBox="1"/>
      </xdr:nvSpPr>
      <xdr:spPr>
        <a:xfrm>
          <a:off x="2038350" y="1657350"/>
          <a:ext cx="3448050" cy="3048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16</xdr:row>
          <xdr:rowOff>0</xdr:rowOff>
        </xdr:from>
        <xdr:to>
          <xdr:col>16384</xdr:col>
          <xdr:colOff>2600325</xdr:colOff>
          <xdr:row>27</xdr:row>
          <xdr:rowOff>0</xdr:rowOff>
        </xdr:to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A441508F-AF22-DCE7-3CD4-9F81EB612B3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Table!$B$13:$E$23" spid="_x0000_s1038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7315200" y="3105150"/>
              <a:ext cx="6000750" cy="2095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24</xdr:row>
          <xdr:rowOff>38100</xdr:rowOff>
        </xdr:from>
        <xdr:to>
          <xdr:col>8</xdr:col>
          <xdr:colOff>495300</xdr:colOff>
          <xdr:row>34</xdr:row>
          <xdr:rowOff>47625</xdr:rowOff>
        </xdr:to>
        <xdr:pic>
          <xdr:nvPicPr>
            <xdr:cNvPr id="27" name="Imagem 26">
              <a:extLst>
                <a:ext uri="{FF2B5EF4-FFF2-40B4-BE49-F238E27FC236}">
                  <a16:creationId xmlns:a16="http://schemas.microsoft.com/office/drawing/2014/main" id="{D3C8F1CA-1E58-0FF8-74A5-96F06D0E390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Waffle!$C$4:$L$13" spid="_x0000_s1039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2657475" y="4667250"/>
              <a:ext cx="2714625" cy="191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0</xdr:col>
      <xdr:colOff>66675</xdr:colOff>
      <xdr:row>18</xdr:row>
      <xdr:rowOff>0</xdr:rowOff>
    </xdr:from>
    <xdr:to>
      <xdr:col>3</xdr:col>
      <xdr:colOff>66675</xdr:colOff>
      <xdr:row>31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Produto">
              <a:extLst>
                <a:ext uri="{FF2B5EF4-FFF2-40B4-BE49-F238E27FC236}">
                  <a16:creationId xmlns:a16="http://schemas.microsoft.com/office/drawing/2014/main" id="{ACE2E7F4-FFD4-4848-8BE3-326E6B562C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34861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161925</xdr:colOff>
          <xdr:row>2</xdr:row>
          <xdr:rowOff>180975</xdr:rowOff>
        </xdr:from>
        <xdr:to>
          <xdr:col>9</xdr:col>
          <xdr:colOff>171450</xdr:colOff>
          <xdr:row>17</xdr:row>
          <xdr:rowOff>114300</xdr:rowOff>
        </xdr:to>
        <xdr:pic>
          <xdr:nvPicPr>
            <xdr:cNvPr id="4" name="Imagem 3">
              <a:extLst>
                <a:ext uri="{FF2B5EF4-FFF2-40B4-BE49-F238E27FC236}">
                  <a16:creationId xmlns:a16="http://schemas.microsoft.com/office/drawing/2014/main" id="{F994727E-70DF-9A4F-BF74-69367448BB2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Gráfico Masculino e Feminino '!$H$2:$K$16" spid="_x0000_s1437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209925" y="561975"/>
              <a:ext cx="2447925" cy="2867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171450</xdr:colOff>
          <xdr:row>1</xdr:row>
          <xdr:rowOff>95250</xdr:rowOff>
        </xdr:from>
        <xdr:to>
          <xdr:col>13</xdr:col>
          <xdr:colOff>28575</xdr:colOff>
          <xdr:row>17</xdr:row>
          <xdr:rowOff>28575</xdr:rowOff>
        </xdr:to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B271CC5F-EF32-5F72-618B-4207475A16A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Gráfico Masculino e Feminino '!$G$18:$K$33" spid="_x0000_s1437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048250" y="285750"/>
              <a:ext cx="3057525" cy="3057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0</xdr:col>
      <xdr:colOff>209550</xdr:colOff>
      <xdr:row>4</xdr:row>
      <xdr:rowOff>180975</xdr:rowOff>
    </xdr:from>
    <xdr:to>
      <xdr:col>3</xdr:col>
      <xdr:colOff>209550</xdr:colOff>
      <xdr:row>18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Loja">
              <a:extLst>
                <a:ext uri="{FF2B5EF4-FFF2-40B4-BE49-F238E27FC236}">
                  <a16:creationId xmlns:a16="http://schemas.microsoft.com/office/drawing/2014/main" id="{7ABE8E0A-5460-448E-BA7E-A7B634F387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j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550" y="10191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57150</xdr:colOff>
      <xdr:row>18</xdr:row>
      <xdr:rowOff>171450</xdr:rowOff>
    </xdr:from>
    <xdr:to>
      <xdr:col>8</xdr:col>
      <xdr:colOff>9525</xdr:colOff>
      <xdr:row>21</xdr:row>
      <xdr:rowOff>0</xdr:rowOff>
    </xdr:to>
    <xdr:sp macro="" textlink="'Gráfico Masculino e Feminino '!B2">
      <xdr:nvSpPr>
        <xdr:cNvPr id="7" name="CaixaDeTexto 6">
          <a:extLst>
            <a:ext uri="{FF2B5EF4-FFF2-40B4-BE49-F238E27FC236}">
              <a16:creationId xmlns:a16="http://schemas.microsoft.com/office/drawing/2014/main" id="{04FFE8A8-D91B-AC83-AD0C-63B9F1BC9629}"/>
            </a:ext>
          </a:extLst>
        </xdr:cNvPr>
        <xdr:cNvSpPr txBox="1"/>
      </xdr:nvSpPr>
      <xdr:spPr>
        <a:xfrm>
          <a:off x="3714750" y="3676650"/>
          <a:ext cx="1171575" cy="4000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8FCF9CB-3FD1-4671-8623-971EF78A80C7}" type="TxLink">
            <a:rPr lang="en-US" sz="2800" b="0" i="0" u="none" strike="noStrike">
              <a:solidFill>
                <a:srgbClr val="FF33CC"/>
              </a:solidFill>
              <a:latin typeface="Calibri"/>
              <a:cs typeface="Calibri"/>
            </a:rPr>
            <a:pPr algn="ctr"/>
            <a:t>53,3%</a:t>
          </a:fld>
          <a:endParaRPr lang="pt-BR" sz="2800">
            <a:solidFill>
              <a:srgbClr val="FF33CC"/>
            </a:solidFill>
          </a:endParaRPr>
        </a:p>
      </xdr:txBody>
    </xdr:sp>
    <xdr:clientData/>
  </xdr:twoCellAnchor>
  <xdr:twoCellAnchor>
    <xdr:from>
      <xdr:col>9</xdr:col>
      <xdr:colOff>714375</xdr:colOff>
      <xdr:row>19</xdr:row>
      <xdr:rowOff>28575</xdr:rowOff>
    </xdr:from>
    <xdr:to>
      <xdr:col>11</xdr:col>
      <xdr:colOff>485775</xdr:colOff>
      <xdr:row>20</xdr:row>
      <xdr:rowOff>180975</xdr:rowOff>
    </xdr:to>
    <xdr:sp macro="" textlink="'Gráfico Masculino e Feminino '!B6">
      <xdr:nvSpPr>
        <xdr:cNvPr id="8" name="CaixaDeTexto 7">
          <a:extLst>
            <a:ext uri="{FF2B5EF4-FFF2-40B4-BE49-F238E27FC236}">
              <a16:creationId xmlns:a16="http://schemas.microsoft.com/office/drawing/2014/main" id="{883A00C6-C92C-3C4D-1336-99BB126E52CD}"/>
            </a:ext>
          </a:extLst>
        </xdr:cNvPr>
        <xdr:cNvSpPr txBox="1"/>
      </xdr:nvSpPr>
      <xdr:spPr>
        <a:xfrm>
          <a:off x="6200775" y="3724275"/>
          <a:ext cx="1143000" cy="3429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29CDB47-3E3C-48C6-8DA9-04311086B461}" type="TxLink">
            <a:rPr lang="en-US" sz="2800" b="0" i="0" u="none" strike="noStrike">
              <a:solidFill>
                <a:srgbClr val="002060"/>
              </a:solidFill>
              <a:latin typeface="Calibri"/>
              <a:cs typeface="Calibri"/>
            </a:rPr>
            <a:pPr algn="ctr"/>
            <a:t>46,7%</a:t>
          </a:fld>
          <a:endParaRPr lang="pt-BR" sz="2800">
            <a:solidFill>
              <a:srgbClr val="00206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9525</xdr:rowOff>
    </xdr:from>
    <xdr:to>
      <xdr:col>2</xdr:col>
      <xdr:colOff>238125</xdr:colOff>
      <xdr:row>21</xdr:row>
      <xdr:rowOff>187325</xdr:rowOff>
    </xdr:to>
    <xdr:pic>
      <xdr:nvPicPr>
        <xdr:cNvPr id="2" name="Gráfico 1" descr="Mulher">
          <a:extLst>
            <a:ext uri="{FF2B5EF4-FFF2-40B4-BE49-F238E27FC236}">
              <a16:creationId xmlns:a16="http://schemas.microsoft.com/office/drawing/2014/main" id="{8BFDCFBE-83C6-42F7-9031-E452E15E8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914525"/>
          <a:ext cx="2009775" cy="22733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9</xdr:row>
      <xdr:rowOff>47625</xdr:rowOff>
    </xdr:from>
    <xdr:to>
      <xdr:col>4</xdr:col>
      <xdr:colOff>57150</xdr:colOff>
      <xdr:row>21</xdr:row>
      <xdr:rowOff>34925</xdr:rowOff>
    </xdr:to>
    <xdr:pic>
      <xdr:nvPicPr>
        <xdr:cNvPr id="3" name="Gráfico 2" descr="Mulher">
          <a:extLst>
            <a:ext uri="{FF2B5EF4-FFF2-40B4-BE49-F238E27FC236}">
              <a16:creationId xmlns:a16="http://schemas.microsoft.com/office/drawing/2014/main" id="{DA93F4BA-D65A-4F02-8732-4B1EC3F32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14450" y="1762125"/>
          <a:ext cx="2009775" cy="2273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</xdr:row>
      <xdr:rowOff>176212</xdr:rowOff>
    </xdr:from>
    <xdr:to>
      <xdr:col>12</xdr:col>
      <xdr:colOff>304800</xdr:colOff>
      <xdr:row>16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EF2B8CA-7C38-18BE-5819-AC0AA26D0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80962</xdr:colOff>
      <xdr:row>19</xdr:row>
      <xdr:rowOff>23812</xdr:rowOff>
    </xdr:from>
    <xdr:to>
      <xdr:col>12</xdr:col>
      <xdr:colOff>385762</xdr:colOff>
      <xdr:row>33</xdr:row>
      <xdr:rowOff>100012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61E38E-B643-00D6-CD39-437937DAC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23</xdr:row>
      <xdr:rowOff>152400</xdr:rowOff>
    </xdr:from>
    <xdr:to>
      <xdr:col>2</xdr:col>
      <xdr:colOff>142876</xdr:colOff>
      <xdr:row>35</xdr:row>
      <xdr:rowOff>167500</xdr:rowOff>
    </xdr:to>
    <xdr:pic>
      <xdr:nvPicPr>
        <xdr:cNvPr id="6" name="Gráfico 5" descr="Homem">
          <a:extLst>
            <a:ext uri="{FF2B5EF4-FFF2-40B4-BE49-F238E27FC236}">
              <a16:creationId xmlns:a16="http://schemas.microsoft.com/office/drawing/2014/main" id="{ADCBD2C3-0860-4174-89B4-0F5B9B662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0" y="4533900"/>
          <a:ext cx="1914526" cy="2301100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438150</xdr:colOff>
      <xdr:row>23</xdr:row>
      <xdr:rowOff>180975</xdr:rowOff>
    </xdr:from>
    <xdr:to>
      <xdr:col>4</xdr:col>
      <xdr:colOff>247651</xdr:colOff>
      <xdr:row>36</xdr:row>
      <xdr:rowOff>5575</xdr:rowOff>
    </xdr:to>
    <xdr:pic>
      <xdr:nvPicPr>
        <xdr:cNvPr id="8" name="Gráfico 7" descr="Homem">
          <a:extLst>
            <a:ext uri="{FF2B5EF4-FFF2-40B4-BE49-F238E27FC236}">
              <a16:creationId xmlns:a16="http://schemas.microsoft.com/office/drawing/2014/main" id="{38F1A273-0A6F-41ED-967E-0179C0D0D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600200" y="4562475"/>
          <a:ext cx="1914526" cy="2301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104775</xdr:colOff>
      <xdr:row>8</xdr:row>
      <xdr:rowOff>138112</xdr:rowOff>
    </xdr:from>
    <xdr:to>
      <xdr:col>16</xdr:col>
      <xdr:colOff>409575</xdr:colOff>
      <xdr:row>13</xdr:row>
      <xdr:rowOff>100012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16DD536-1B20-30ED-7C4B-FFDDE4104BBD}"/>
            </a:ext>
          </a:extLst>
        </xdr:cNvPr>
        <xdr:cNvSpPr txBox="1"/>
      </xdr:nvSpPr>
      <xdr:spPr>
        <a:xfrm>
          <a:off x="5819775" y="1662112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2</xdr:col>
      <xdr:colOff>200025</xdr:colOff>
      <xdr:row>6</xdr:row>
      <xdr:rowOff>114300</xdr:rowOff>
    </xdr:from>
    <xdr:to>
      <xdr:col>10</xdr:col>
      <xdr:colOff>190500</xdr:colOff>
      <xdr:row>9</xdr:row>
      <xdr:rowOff>19050</xdr:rowOff>
    </xdr:to>
    <xdr:sp macro="" textlink="$A$1">
      <xdr:nvSpPr>
        <xdr:cNvPr id="3" name="CaixaDeTexto 2">
          <a:extLst>
            <a:ext uri="{FF2B5EF4-FFF2-40B4-BE49-F238E27FC236}">
              <a16:creationId xmlns:a16="http://schemas.microsoft.com/office/drawing/2014/main" id="{0252C5E6-EA1F-BC41-F29F-9EBBF2EC16CA}"/>
            </a:ext>
          </a:extLst>
        </xdr:cNvPr>
        <xdr:cNvSpPr txBox="1"/>
      </xdr:nvSpPr>
      <xdr:spPr>
        <a:xfrm>
          <a:off x="1419225" y="1257300"/>
          <a:ext cx="2124075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11B3F0D-E904-421F-8E80-15B1EFBBCC70}" type="TxLink">
            <a:rPr lang="en-US" sz="2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117%</a:t>
          </a:fld>
          <a:endParaRPr lang="pt-BR" sz="24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2</xdr:row>
      <xdr:rowOff>14287</xdr:rowOff>
    </xdr:from>
    <xdr:to>
      <xdr:col>15</xdr:col>
      <xdr:colOff>581025</xdr:colOff>
      <xdr:row>16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E61E99-4133-2044-32EF-1CF738300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304800</xdr:colOff>
      <xdr:row>9</xdr:row>
      <xdr:rowOff>47625</xdr:rowOff>
    </xdr:from>
    <xdr:to>
      <xdr:col>14</xdr:col>
      <xdr:colOff>0</xdr:colOff>
      <xdr:row>12</xdr:row>
      <xdr:rowOff>123825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C83B7E1-C791-9401-B690-44312CCA5BA9}"/>
            </a:ext>
          </a:extLst>
        </xdr:cNvPr>
        <xdr:cNvSpPr/>
      </xdr:nvSpPr>
      <xdr:spPr>
        <a:xfrm>
          <a:off x="7562850" y="1762125"/>
          <a:ext cx="2133600" cy="647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285750</xdr:colOff>
      <xdr:row>7</xdr:row>
      <xdr:rowOff>123824</xdr:rowOff>
    </xdr:from>
    <xdr:to>
      <xdr:col>12</xdr:col>
      <xdr:colOff>552450</xdr:colOff>
      <xdr:row>9</xdr:row>
      <xdr:rowOff>38099</xdr:rowOff>
    </xdr:to>
    <xdr:sp macro="" textlink="$D$10">
      <xdr:nvSpPr>
        <xdr:cNvPr id="4" name="CaixaDeTexto 3">
          <a:extLst>
            <a:ext uri="{FF2B5EF4-FFF2-40B4-BE49-F238E27FC236}">
              <a16:creationId xmlns:a16="http://schemas.microsoft.com/office/drawing/2014/main" id="{C47DCE0F-DA9E-942F-59BF-91AD91904952}"/>
            </a:ext>
          </a:extLst>
        </xdr:cNvPr>
        <xdr:cNvSpPr txBox="1"/>
      </xdr:nvSpPr>
      <xdr:spPr>
        <a:xfrm>
          <a:off x="8153400" y="1457324"/>
          <a:ext cx="8763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D10514C-F408-4BBA-828D-C78F1E643995}" type="TxLink">
            <a:rPr lang="en-US" sz="18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117%</a:t>
          </a:fld>
          <a:endParaRPr lang="pt-BR" sz="1800" b="1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0.39375</cdr:x>
      <cdr:y>0.32465</cdr:y>
    </cdr:from>
    <cdr:to>
      <cdr:x>0.60208</cdr:x>
      <cdr:y>0.60938</cdr:y>
    </cdr:to>
    <cdr:sp macro="" textlink="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6D083064-9B2A-F101-B1EF-FA710BDEBDA6}"/>
            </a:ext>
          </a:extLst>
        </cdr:cNvPr>
        <cdr:cNvSpPr/>
      </cdr:nvSpPr>
      <cdr:spPr>
        <a:xfrm xmlns:a="http://schemas.openxmlformats.org/drawingml/2006/main">
          <a:off x="1800226" y="890588"/>
          <a:ext cx="952500" cy="78105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 kern="12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11</xdr:row>
      <xdr:rowOff>119062</xdr:rowOff>
    </xdr:from>
    <xdr:to>
      <xdr:col>12</xdr:col>
      <xdr:colOff>304800</xdr:colOff>
      <xdr:row>26</xdr:row>
      <xdr:rowOff>4762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0BC688E-D45D-2C39-F123-27E87D59B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104775</xdr:colOff>
      <xdr:row>10</xdr:row>
      <xdr:rowOff>128587</xdr:rowOff>
    </xdr:from>
    <xdr:to>
      <xdr:col>4</xdr:col>
      <xdr:colOff>190500</xdr:colOff>
      <xdr:row>25</xdr:row>
      <xdr:rowOff>14287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A486E83-6646-6B93-F2A7-9B900DEB5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120650</xdr:rowOff>
    </xdr:from>
    <xdr:to>
      <xdr:col>2</xdr:col>
      <xdr:colOff>95250</xdr:colOff>
      <xdr:row>7</xdr:row>
      <xdr:rowOff>88900</xdr:rowOff>
    </xdr:to>
    <xdr:pic>
      <xdr:nvPicPr>
        <xdr:cNvPr id="2" name="Graphic 3" descr="Money">
          <a:extLst>
            <a:ext uri="{FF2B5EF4-FFF2-40B4-BE49-F238E27FC236}">
              <a16:creationId xmlns:a16="http://schemas.microsoft.com/office/drawing/2014/main" id="{EA3EFC32-006E-41F3-BB39-F60BCF25A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9600" y="692150"/>
          <a:ext cx="704850" cy="73025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444500</xdr:colOff>
      <xdr:row>3</xdr:row>
      <xdr:rowOff>0</xdr:rowOff>
    </xdr:from>
    <xdr:to>
      <xdr:col>4</xdr:col>
      <xdr:colOff>38100</xdr:colOff>
      <xdr:row>7</xdr:row>
      <xdr:rowOff>38100</xdr:rowOff>
    </xdr:to>
    <xdr:pic>
      <xdr:nvPicPr>
        <xdr:cNvPr id="3" name="Graphic 5" descr="Clothes hanger">
          <a:extLst>
            <a:ext uri="{FF2B5EF4-FFF2-40B4-BE49-F238E27FC236}">
              <a16:creationId xmlns:a16="http://schemas.microsoft.com/office/drawing/2014/main" id="{CDE993EB-259C-485C-B449-793F439C3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63700" y="571500"/>
          <a:ext cx="812800" cy="800100"/>
        </a:xfrm>
        <a:prstGeom prst="rect">
          <a:avLst/>
        </a:prstGeom>
      </xdr:spPr>
    </xdr:pic>
    <xdr:clientData/>
  </xdr:twoCellAnchor>
  <xdr:twoCellAnchor editAs="oneCell">
    <xdr:from>
      <xdr:col>4</xdr:col>
      <xdr:colOff>212725</xdr:colOff>
      <xdr:row>1</xdr:row>
      <xdr:rowOff>171450</xdr:rowOff>
    </xdr:from>
    <xdr:to>
      <xdr:col>7</xdr:col>
      <xdr:colOff>393700</xdr:colOff>
      <xdr:row>13</xdr:row>
      <xdr:rowOff>158750</xdr:rowOff>
    </xdr:to>
    <xdr:pic>
      <xdr:nvPicPr>
        <xdr:cNvPr id="4" name="Gráfico 3" descr="Mulher">
          <a:extLst>
            <a:ext uri="{FF2B5EF4-FFF2-40B4-BE49-F238E27FC236}">
              <a16:creationId xmlns:a16="http://schemas.microsoft.com/office/drawing/2014/main" id="{3F09E08E-D980-4D60-918A-1FE5A9ED7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651125" y="361950"/>
          <a:ext cx="2009775" cy="2273300"/>
        </a:xfrm>
        <a:prstGeom prst="rect">
          <a:avLst/>
        </a:prstGeom>
      </xdr:spPr>
    </xdr:pic>
    <xdr:clientData/>
  </xdr:twoCellAnchor>
  <xdr:twoCellAnchor editAs="oneCell">
    <xdr:from>
      <xdr:col>9</xdr:col>
      <xdr:colOff>428624</xdr:colOff>
      <xdr:row>1</xdr:row>
      <xdr:rowOff>156350</xdr:rowOff>
    </xdr:from>
    <xdr:to>
      <xdr:col>12</xdr:col>
      <xdr:colOff>333375</xdr:colOff>
      <xdr:row>13</xdr:row>
      <xdr:rowOff>171450</xdr:rowOff>
    </xdr:to>
    <xdr:pic>
      <xdr:nvPicPr>
        <xdr:cNvPr id="5" name="Gráfico 4" descr="Homem">
          <a:extLst>
            <a:ext uri="{FF2B5EF4-FFF2-40B4-BE49-F238E27FC236}">
              <a16:creationId xmlns:a16="http://schemas.microsoft.com/office/drawing/2014/main" id="{D9942589-7E7D-4AF3-82E5-8C9D187A0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915024" y="346850"/>
          <a:ext cx="1733551" cy="2301100"/>
        </a:xfrm>
        <a:prstGeom prst="rect">
          <a:avLst/>
        </a:prstGeom>
      </xdr:spPr>
    </xdr:pic>
    <xdr:clientData/>
  </xdr:twoCellAnchor>
  <xdr:twoCellAnchor editAs="oneCell">
    <xdr:from>
      <xdr:col>6</xdr:col>
      <xdr:colOff>431800</xdr:colOff>
      <xdr:row>1</xdr:row>
      <xdr:rowOff>174625</xdr:rowOff>
    </xdr:from>
    <xdr:to>
      <xdr:col>10</xdr:col>
      <xdr:colOff>190500</xdr:colOff>
      <xdr:row>13</xdr:row>
      <xdr:rowOff>161925</xdr:rowOff>
    </xdr:to>
    <xdr:pic>
      <xdr:nvPicPr>
        <xdr:cNvPr id="6" name="Gráfico 5" descr="Mulher">
          <a:extLst>
            <a:ext uri="{FF2B5EF4-FFF2-40B4-BE49-F238E27FC236}">
              <a16:creationId xmlns:a16="http://schemas.microsoft.com/office/drawing/2014/main" id="{8C41362A-54B0-4914-8A10-262354681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089400" y="365125"/>
          <a:ext cx="2197100" cy="2273300"/>
        </a:xfrm>
        <a:prstGeom prst="rect">
          <a:avLst/>
        </a:prstGeom>
      </xdr:spPr>
    </xdr:pic>
    <xdr:clientData/>
  </xdr:twoCellAnchor>
  <xdr:twoCellAnchor editAs="oneCell">
    <xdr:from>
      <xdr:col>11</xdr:col>
      <xdr:colOff>441325</xdr:colOff>
      <xdr:row>1</xdr:row>
      <xdr:rowOff>95250</xdr:rowOff>
    </xdr:from>
    <xdr:to>
      <xdr:col>14</xdr:col>
      <xdr:colOff>564375</xdr:colOff>
      <xdr:row>13</xdr:row>
      <xdr:rowOff>110350</xdr:rowOff>
    </xdr:to>
    <xdr:pic>
      <xdr:nvPicPr>
        <xdr:cNvPr id="7" name="Gráfico 6" descr="Homem">
          <a:extLst>
            <a:ext uri="{FF2B5EF4-FFF2-40B4-BE49-F238E27FC236}">
              <a16:creationId xmlns:a16="http://schemas.microsoft.com/office/drawing/2014/main" id="{18E6B5E3-1B5B-4FE0-84BC-2FFD5C93E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146925" y="285750"/>
          <a:ext cx="1951850" cy="23011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a Oliveira" refreshedDate="46038.490348032406" createdVersion="8" refreshedVersion="8" minRefreshableVersion="3" recordCount="37" xr:uid="{E0552413-F74E-4A3C-A3C6-1DC55030EEA5}">
  <cacheSource type="worksheet">
    <worksheetSource name="Tabela1"/>
  </cacheSource>
  <cacheFields count="6">
    <cacheField name="Vendedor" numFmtId="0">
      <sharedItems count="8">
        <s v="Leonardo Almeida"/>
        <s v="Eliane Moreira"/>
        <s v="Nicolas Pereira"/>
        <s v="Amanda Martins"/>
        <s v="Paulo Santos"/>
        <s v="Aline Rosa"/>
        <s v="Angela Maria"/>
        <s v="Carlos Moreira"/>
      </sharedItems>
    </cacheField>
    <cacheField name="Vendedor2" numFmtId="0">
      <sharedItems count="8">
        <s v="Leonardo Almeida"/>
        <s v="Eliane Moreira"/>
        <s v="Nicolas Pereira"/>
        <s v="Amanda Martins"/>
        <s v="Paulo Santos"/>
        <s v="Aline Rosa"/>
        <s v="Angela Maria"/>
        <s v="Carlos Moreira"/>
      </sharedItems>
    </cacheField>
    <cacheField name="Produto" numFmtId="0">
      <sharedItems count="18">
        <s v="Tênis Feminino"/>
        <s v="Calça Feminina Jogger"/>
        <s v="Camisa Masculina"/>
        <s v="Bermuda Masculino"/>
        <s v="Camisa Masculina Festa Balada"/>
        <s v="Bota Masculina"/>
        <s v="Jaqueta Masculina Preta"/>
        <s v="Bolsa de Trabalho"/>
        <s v="Kit de Pinceis de Maquiagem"/>
        <s v="Vestido Infantil"/>
        <s v="Calça Bailarina"/>
        <s v="Camisa Térmica"/>
        <s v="Sapato Social"/>
        <s v="Sapatilha Sapato"/>
        <s v="Colar Pingente"/>
        <s v="Boné"/>
        <s v="Relógio"/>
        <s v="Chinelo"/>
      </sharedItems>
    </cacheField>
    <cacheField name="Valor Unitário" numFmtId="0">
      <sharedItems containsSemiMixedTypes="0" containsString="0" containsNumber="1" minValue="40" maxValue="390"/>
    </cacheField>
    <cacheField name="Unidades Vendidas" numFmtId="0">
      <sharedItems containsSemiMixedTypes="0" containsString="0" containsNumber="1" containsInteger="1" minValue="1" maxValue="9"/>
    </cacheField>
    <cacheField name=" Total " numFmtId="8">
      <sharedItems containsSemiMixedTypes="0" containsString="0" containsNumber="1" minValue="46.9" maxValue="1337.04"/>
    </cacheField>
  </cacheFields>
  <extLst>
    <ext xmlns:x14="http://schemas.microsoft.com/office/spreadsheetml/2009/9/main" uri="{725AE2AE-9491-48be-B2B4-4EB974FC3084}">
      <x14:pivotCacheDefinition pivotCacheId="214664710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a Oliveira" refreshedDate="46041.483285648152" createdVersion="8" refreshedVersion="8" minRefreshableVersion="3" recordCount="8" xr:uid="{B7FD662C-2CBC-4B91-A5DB-94FBAA0E5D3F}">
  <cacheSource type="worksheet">
    <worksheetSource name="Tabela2"/>
  </cacheSource>
  <cacheFields count="6">
    <cacheField name="Loja" numFmtId="0">
      <sharedItems count="3">
        <s v="Santa Catarina"/>
        <s v="São Paulo"/>
        <s v="Rio de Janeiro"/>
      </sharedItems>
    </cacheField>
    <cacheField name="Loja2" numFmtId="0">
      <sharedItems count="3">
        <s v="Santa Catarina"/>
        <s v="São Paulo"/>
        <s v="Rio de Janeiro"/>
      </sharedItems>
    </cacheField>
    <cacheField name="Vendedor" numFmtId="0">
      <sharedItems count="8">
        <s v="Amanda Martins"/>
        <s v="Angela Maria"/>
        <s v="Carlos Moreira"/>
        <s v="Eliane Moreira"/>
        <s v="Aline Rosa"/>
        <s v="Leonardo Almeida"/>
        <s v="Nicolas Pereira"/>
        <s v="Paulo Santos"/>
      </sharedItems>
    </cacheField>
    <cacheField name="Sexo" numFmtId="0">
      <sharedItems count="2">
        <s v="Feminino"/>
        <s v="Masculino"/>
      </sharedItems>
    </cacheField>
    <cacheField name="Quantidade" numFmtId="0">
      <sharedItems containsSemiMixedTypes="0" containsString="0" containsNumber="1" containsInteger="1" minValue="6" maxValue="20"/>
    </cacheField>
    <cacheField name=" Vendas " numFmtId="8">
      <sharedItems containsSemiMixedTypes="0" containsString="0" containsNumber="1" minValue="559.35" maxValue="2331.7399999999998"/>
    </cacheField>
  </cacheFields>
  <extLst>
    <ext xmlns:x14="http://schemas.microsoft.com/office/spreadsheetml/2009/9/main" uri="{725AE2AE-9491-48be-B2B4-4EB974FC3084}">
      <x14:pivotCacheDefinition pivotCacheId="18506391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x v="0"/>
    <n v="89.99"/>
    <n v="3"/>
    <n v="269.97000000000003"/>
  </r>
  <r>
    <x v="1"/>
    <x v="1"/>
    <x v="1"/>
    <n v="69.989999999999995"/>
    <n v="5"/>
    <n v="349.95"/>
  </r>
  <r>
    <x v="2"/>
    <x v="2"/>
    <x v="2"/>
    <n v="153.4"/>
    <n v="1"/>
    <n v="153.4"/>
  </r>
  <r>
    <x v="3"/>
    <x v="3"/>
    <x v="3"/>
    <n v="148.56"/>
    <n v="9"/>
    <n v="1337.04"/>
  </r>
  <r>
    <x v="4"/>
    <x v="4"/>
    <x v="4"/>
    <n v="146.13999999999999"/>
    <n v="1"/>
    <n v="146.13999999999999"/>
  </r>
  <r>
    <x v="5"/>
    <x v="5"/>
    <x v="5"/>
    <n v="224.14"/>
    <n v="4"/>
    <n v="896.56"/>
  </r>
  <r>
    <x v="0"/>
    <x v="0"/>
    <x v="6"/>
    <n v="150.5"/>
    <n v="4"/>
    <n v="602"/>
  </r>
  <r>
    <x v="1"/>
    <x v="1"/>
    <x v="7"/>
    <n v="248.73"/>
    <n v="1"/>
    <n v="248.73"/>
  </r>
  <r>
    <x v="2"/>
    <x v="2"/>
    <x v="8"/>
    <n v="116.52"/>
    <n v="1"/>
    <n v="116.52"/>
  </r>
  <r>
    <x v="3"/>
    <x v="3"/>
    <x v="9"/>
    <n v="59.9"/>
    <n v="1"/>
    <n v="59.9"/>
  </r>
  <r>
    <x v="0"/>
    <x v="0"/>
    <x v="10"/>
    <n v="46.9"/>
    <n v="1"/>
    <n v="46.9"/>
  </r>
  <r>
    <x v="1"/>
    <x v="1"/>
    <x v="11"/>
    <n v="41.9"/>
    <n v="4"/>
    <n v="167.6"/>
  </r>
  <r>
    <x v="2"/>
    <x v="2"/>
    <x v="12"/>
    <n v="81.900000000000006"/>
    <n v="9"/>
    <n v="737.1"/>
  </r>
  <r>
    <x v="3"/>
    <x v="3"/>
    <x v="13"/>
    <n v="55.9"/>
    <n v="2"/>
    <n v="111.8"/>
  </r>
  <r>
    <x v="1"/>
    <x v="1"/>
    <x v="14"/>
    <n v="89.9"/>
    <n v="1"/>
    <n v="89.9"/>
  </r>
  <r>
    <x v="6"/>
    <x v="6"/>
    <x v="0"/>
    <n v="89.99"/>
    <n v="1"/>
    <n v="89.99"/>
  </r>
  <r>
    <x v="7"/>
    <x v="7"/>
    <x v="1"/>
    <n v="69.989999999999995"/>
    <n v="1"/>
    <n v="69.989999999999995"/>
  </r>
  <r>
    <x v="1"/>
    <x v="1"/>
    <x v="2"/>
    <n v="153.4"/>
    <n v="2"/>
    <n v="306.8"/>
  </r>
  <r>
    <x v="2"/>
    <x v="2"/>
    <x v="3"/>
    <n v="148.56"/>
    <n v="6"/>
    <n v="891.36"/>
  </r>
  <r>
    <x v="0"/>
    <x v="0"/>
    <x v="4"/>
    <n v="146.13999999999999"/>
    <n v="1"/>
    <n v="146.13999999999999"/>
  </r>
  <r>
    <x v="5"/>
    <x v="5"/>
    <x v="5"/>
    <n v="224.14"/>
    <n v="1"/>
    <n v="224.14"/>
  </r>
  <r>
    <x v="0"/>
    <x v="0"/>
    <x v="6"/>
    <n v="150.5"/>
    <n v="5"/>
    <n v="752.5"/>
  </r>
  <r>
    <x v="1"/>
    <x v="1"/>
    <x v="7"/>
    <n v="248.73"/>
    <n v="2"/>
    <n v="497.46"/>
  </r>
  <r>
    <x v="2"/>
    <x v="2"/>
    <x v="8"/>
    <n v="116.52"/>
    <n v="3"/>
    <n v="349.56"/>
  </r>
  <r>
    <x v="3"/>
    <x v="3"/>
    <x v="9"/>
    <n v="59.9"/>
    <n v="2"/>
    <n v="119.8"/>
  </r>
  <r>
    <x v="1"/>
    <x v="1"/>
    <x v="10"/>
    <n v="46.9"/>
    <n v="2"/>
    <n v="93.8"/>
  </r>
  <r>
    <x v="2"/>
    <x v="2"/>
    <x v="11"/>
    <n v="41.9"/>
    <n v="2"/>
    <n v="83.8"/>
  </r>
  <r>
    <x v="3"/>
    <x v="3"/>
    <x v="12"/>
    <n v="81.900000000000006"/>
    <n v="4"/>
    <n v="327.60000000000002"/>
  </r>
  <r>
    <x v="6"/>
    <x v="6"/>
    <x v="8"/>
    <n v="116.52"/>
    <n v="3"/>
    <n v="349.56"/>
  </r>
  <r>
    <x v="6"/>
    <x v="6"/>
    <x v="9"/>
    <n v="59.9"/>
    <n v="2"/>
    <n v="119.8"/>
  </r>
  <r>
    <x v="7"/>
    <x v="7"/>
    <x v="15"/>
    <n v="40"/>
    <n v="3"/>
    <n v="120"/>
  </r>
  <r>
    <x v="7"/>
    <x v="7"/>
    <x v="16"/>
    <n v="390"/>
    <n v="2"/>
    <n v="780"/>
  </r>
  <r>
    <x v="5"/>
    <x v="5"/>
    <x v="3"/>
    <n v="148.56"/>
    <n v="2"/>
    <n v="297.12"/>
  </r>
  <r>
    <x v="5"/>
    <x v="5"/>
    <x v="2"/>
    <n v="153.4"/>
    <n v="1"/>
    <n v="153.4"/>
  </r>
  <r>
    <x v="5"/>
    <x v="5"/>
    <x v="17"/>
    <n v="40"/>
    <n v="3"/>
    <n v="120"/>
  </r>
  <r>
    <x v="4"/>
    <x v="4"/>
    <x v="12"/>
    <n v="81.900000000000006"/>
    <n v="8"/>
    <n v="655.20000000000005"/>
  </r>
  <r>
    <x v="4"/>
    <x v="4"/>
    <x v="2"/>
    <n v="153.4"/>
    <n v="1"/>
    <n v="153.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x v="0"/>
    <n v="16"/>
    <n v="1956.14"/>
  </r>
  <r>
    <x v="1"/>
    <x v="1"/>
    <x v="1"/>
    <x v="0"/>
    <n v="8"/>
    <n v="559.35"/>
  </r>
  <r>
    <x v="1"/>
    <x v="1"/>
    <x v="2"/>
    <x v="1"/>
    <n v="6"/>
    <n v="969.99"/>
  </r>
  <r>
    <x v="0"/>
    <x v="0"/>
    <x v="3"/>
    <x v="0"/>
    <n v="18"/>
    <n v="1754.24"/>
  </r>
  <r>
    <x v="2"/>
    <x v="2"/>
    <x v="4"/>
    <x v="0"/>
    <n v="7"/>
    <n v="1691.22"/>
  </r>
  <r>
    <x v="0"/>
    <x v="0"/>
    <x v="5"/>
    <x v="1"/>
    <n v="12"/>
    <n v="1817.51"/>
  </r>
  <r>
    <x v="2"/>
    <x v="2"/>
    <x v="6"/>
    <x v="1"/>
    <n v="16"/>
    <n v="2331.7399999999998"/>
  </r>
  <r>
    <x v="1"/>
    <x v="1"/>
    <x v="7"/>
    <x v="1"/>
    <n v="20"/>
    <n v="954.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0FDCE-710F-4480-BF55-66D1B6049F4A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E11" firstHeaderRow="0" firstDataRow="1" firstDataCol="3" rowPageCount="1" colPageCount="1"/>
  <pivotFields count="6">
    <pivotField axis="axisPage" compact="0" outline="0" multipleItemSelectionAllowed="1" showAll="0">
      <items count="4">
        <item h="1"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4"/>
        <item x="0"/>
        <item x="1"/>
        <item x="2"/>
        <item x="3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8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3"/>
  </rowFields>
  <rowItems count="7">
    <i>
      <x v="1"/>
      <x v="1"/>
      <x/>
    </i>
    <i r="1">
      <x v="4"/>
      <x/>
    </i>
    <i r="1">
      <x v="5"/>
      <x v="1"/>
    </i>
    <i>
      <x v="2"/>
      <x v="2"/>
      <x/>
    </i>
    <i r="1">
      <x v="3"/>
      <x v="1"/>
    </i>
    <i r="1">
      <x v="7"/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oma de Quantidade" fld="4" baseField="0" baseItem="0"/>
    <dataField name="Soma de  Vendas " fld="5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3D156-C8FF-4F7F-9DD9-14A5165EA692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J3:K9" firstHeaderRow="1" firstDataRow="1" firstDataCol="1"/>
  <pivotFields count="6">
    <pivotField showAll="0">
      <items count="9">
        <item h="1" x="5"/>
        <item h="1" x="3"/>
        <item h="1" x="6"/>
        <item h="1" x="7"/>
        <item h="1" x="1"/>
        <item h="1" x="0"/>
        <item x="2"/>
        <item h="1" x="4"/>
        <item t="default"/>
      </items>
    </pivotField>
    <pivotField showAll="0"/>
    <pivotField axis="axisRow" showAll="0">
      <items count="19">
        <item x="3"/>
        <item x="7"/>
        <item x="15"/>
        <item x="5"/>
        <item x="10"/>
        <item x="1"/>
        <item x="2"/>
        <item x="4"/>
        <item x="11"/>
        <item x="17"/>
        <item x="14"/>
        <item x="6"/>
        <item x="8"/>
        <item x="16"/>
        <item x="13"/>
        <item x="12"/>
        <item x="0"/>
        <item x="9"/>
        <item t="default"/>
      </items>
    </pivotField>
    <pivotField showAll="0"/>
    <pivotField showAll="0"/>
    <pivotField dataField="1" numFmtId="8" showAll="0"/>
  </pivotFields>
  <rowFields count="1">
    <field x="2"/>
  </rowFields>
  <rowItems count="6">
    <i>
      <x/>
    </i>
    <i>
      <x v="6"/>
    </i>
    <i>
      <x v="8"/>
    </i>
    <i>
      <x v="12"/>
    </i>
    <i>
      <x v="15"/>
    </i>
    <i t="grand">
      <x/>
    </i>
  </rowItems>
  <colItems count="1">
    <i/>
  </colItems>
  <dataFields count="1">
    <dataField name="Soma de  Total " fld="5" baseField="0" baseItem="0" numFmtId="8"/>
  </dataField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7A1C0-893D-4ABD-93EE-CAE72FD16448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9" firstHeaderRow="0" firstDataRow="1" firstDataCol="2" rowPageCount="1" colPageCount="1"/>
  <pivotFields count="6">
    <pivotField axis="axisPage" compact="0" outline="0" showAll="0">
      <items count="9">
        <item x="5"/>
        <item x="3"/>
        <item x="6"/>
        <item x="7"/>
        <item x="1"/>
        <item x="0"/>
        <item x="2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5"/>
        <item x="3"/>
        <item x="6"/>
        <item x="7"/>
        <item x="1"/>
        <item x="0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3"/>
        <item x="7"/>
        <item x="15"/>
        <item x="5"/>
        <item x="10"/>
        <item x="1"/>
        <item x="2"/>
        <item x="4"/>
        <item x="11"/>
        <item x="17"/>
        <item x="14"/>
        <item x="6"/>
        <item x="8"/>
        <item x="16"/>
        <item x="13"/>
        <item x="12"/>
        <item x="0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8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6">
    <i>
      <x v="6"/>
      <x/>
    </i>
    <i r="1">
      <x v="6"/>
    </i>
    <i r="1">
      <x v="8"/>
    </i>
    <i r="1">
      <x v="12"/>
    </i>
    <i r="1"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item="6" hier="-1"/>
  </pageFields>
  <dataFields count="3">
    <dataField name="Soma de Unidades Vendidas" fld="4" baseField="0" baseItem="0"/>
    <dataField name="Soma de Valor Unitário" fld="3" baseField="0" baseItem="0"/>
    <dataField name="Soma de  Total " fld="5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DA73F33E-BA29-4396-924B-435F6C444ADE}" sourceName="Vendedor">
  <pivotTables>
    <pivotTable tabId="4" name="Tabela dinâmica1"/>
    <pivotTable tabId="4" name="Tabela dinâmica2"/>
  </pivotTables>
  <data>
    <tabular pivotCacheId="2146647108">
      <items count="8">
        <i x="5"/>
        <i x="3"/>
        <i x="6"/>
        <i x="7"/>
        <i x="1"/>
        <i x="0"/>
        <i x="2" s="1"/>
        <i x="4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A4B622F6-320E-4DF1-8629-D9E689B3F03F}" sourceName="Produto">
  <pivotTables>
    <pivotTable tabId="4" name="Tabela dinâmica1"/>
  </pivotTables>
  <data>
    <tabular pivotCacheId="2146647108">
      <items count="18">
        <i x="3" s="1"/>
        <i x="2" s="1"/>
        <i x="11" s="1"/>
        <i x="8" s="1"/>
        <i x="12" s="1"/>
        <i x="7" s="1" nd="1"/>
        <i x="15" s="1" nd="1"/>
        <i x="5" s="1" nd="1"/>
        <i x="10" s="1" nd="1"/>
        <i x="1" s="1" nd="1"/>
        <i x="4" s="1" nd="1"/>
        <i x="17" s="1" nd="1"/>
        <i x="14" s="1" nd="1"/>
        <i x="6" s="1" nd="1"/>
        <i x="16" s="1" nd="1"/>
        <i x="13" s="1" nd="1"/>
        <i x="0" s="1" nd="1"/>
        <i x="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oja" xr10:uid="{EBA7A39C-BBD3-46FF-8966-1E0CC777CC14}" sourceName="Loja">
  <pivotTables>
    <pivotTable tabId="9" name="Tabela dinâmica3"/>
  </pivotTables>
  <data>
    <tabular pivotCacheId="1850639166">
      <items count="3">
        <i x="2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D006C4A5-70A4-421A-9DA6-EEC1A257C16A}" cache="SegmentaçãodeDados_Vendedor" caption="Vendedor" style="SlicerStyleOther1" rowHeight="241300"/>
  <slicer name="Produto" xr10:uid="{0FD1F2CF-C339-4EB2-B9CA-C55F5496190C}" cache="SegmentaçãodeDados_Produto" caption="Produto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ja" xr10:uid="{66888FE0-27C5-433E-92F9-1FF63A0B0CE4}" cache="SegmentaçãodeDados_Loja" caption="Loja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26DD80-EA80-4634-9985-5C4724F7A277}" name="Tabela2" displayName="Tabela2" ref="A1:F9" totalsRowShown="0">
  <autoFilter ref="A1:F9" xr:uid="{7C26DD80-EA80-4634-9985-5C4724F7A277}"/>
  <tableColumns count="6">
    <tableColumn id="1" xr3:uid="{3AF42967-AB1D-47C8-B2ED-86036181C735}" name="Loja"/>
    <tableColumn id="2" xr3:uid="{58426763-2C36-416B-B231-F1F3B00C7C52}" name="Loja2"/>
    <tableColumn id="3" xr3:uid="{33F08928-111C-4964-A930-9593A73AFAB7}" name="Vendedor"/>
    <tableColumn id="4" xr3:uid="{755F7986-01DA-4C82-99A5-F2D8DDD34B1C}" name="Sexo"/>
    <tableColumn id="5" xr3:uid="{72F45D3A-5BEA-4E90-ACD1-CDE84163A05A}" name="Quantidade"/>
    <tableColumn id="6" xr3:uid="{264378A8-587C-4B4E-B827-175C422DF53A}" name=" Vendas 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C96BDC-436E-4FE9-A3A2-407F1B16A415}" name="Tabela1" displayName="Tabela1" ref="A1:F38" totalsRowShown="0">
  <autoFilter ref="A1:F38" xr:uid="{2BC96BDC-436E-4FE9-A3A2-407F1B16A415}"/>
  <tableColumns count="6">
    <tableColumn id="1" xr3:uid="{93068A77-4314-40F9-A55B-45F5091CA1E6}" name="Vendedor"/>
    <tableColumn id="2" xr3:uid="{2B843CE0-811E-4E55-BE86-F32F24B65E75}" name="Vendedor2"/>
    <tableColumn id="3" xr3:uid="{F9129FED-34FD-4C3D-A17C-6506371E1245}" name="Produto"/>
    <tableColumn id="4" xr3:uid="{C487FEBF-1AB0-4C8F-9701-6AB84ABA4ED1}" name="Valor Unitário"/>
    <tableColumn id="5" xr3:uid="{F9D0337C-413A-421B-8438-E75880D0DB4A}" name="Unidades Vendidas"/>
    <tableColumn id="6" xr3:uid="{5407A7FA-6E48-43B4-AB7A-1D740C0AA53D}" name=" Total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A9C8-FD9D-4B27-BB53-FF2A21C07864}">
  <dimension ref="A1:Q37"/>
  <sheetViews>
    <sheetView showGridLines="0" workbookViewId="0">
      <selection activeCell="M14" sqref="M14"/>
    </sheetView>
  </sheetViews>
  <sheetFormatPr defaultColWidth="0" defaultRowHeight="15" zeroHeight="1" x14ac:dyDescent="0.25"/>
  <cols>
    <col min="1" max="12" width="9.140625" customWidth="1"/>
    <col min="13" max="13" width="27" bestFit="1" customWidth="1"/>
    <col min="14" max="14" width="14.85546875" style="8" bestFit="1" customWidth="1"/>
    <col min="15" max="15" width="9.140625" customWidth="1"/>
    <col min="16" max="17" width="0" hidden="1" customWidth="1"/>
    <col min="18" max="16384" width="9.140625" hidden="1"/>
  </cols>
  <sheetData>
    <row r="1" spans="1:17" ht="20.25" customHeight="1" x14ac:dyDescent="0.35">
      <c r="B1" s="19" t="s">
        <v>62</v>
      </c>
      <c r="C1" s="19"/>
      <c r="D1" s="19"/>
      <c r="E1" s="19"/>
      <c r="F1" s="19"/>
      <c r="G1" s="19"/>
      <c r="H1" s="19"/>
      <c r="I1" s="19"/>
      <c r="J1" s="19"/>
      <c r="K1" s="19"/>
    </row>
    <row r="2" spans="1:17" ht="8.25" customHeigh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M2" s="14"/>
      <c r="N2" s="15"/>
    </row>
    <row r="3" spans="1:17" x14ac:dyDescent="0.25">
      <c r="M3" s="16" t="s">
        <v>60</v>
      </c>
    </row>
    <row r="4" spans="1:17" x14ac:dyDescent="0.25"/>
    <row r="5" spans="1:17" x14ac:dyDescent="0.25"/>
    <row r="6" spans="1:17" x14ac:dyDescent="0.25"/>
    <row r="7" spans="1:17" x14ac:dyDescent="0.25"/>
    <row r="8" spans="1:17" ht="21" x14ac:dyDescent="0.25">
      <c r="Q8" s="4" t="s">
        <v>46</v>
      </c>
    </row>
    <row r="9" spans="1:17" x14ac:dyDescent="0.25"/>
    <row r="10" spans="1:17" x14ac:dyDescent="0.25">
      <c r="M10" s="9" t="s">
        <v>2</v>
      </c>
      <c r="N10" s="10" t="s">
        <v>59</v>
      </c>
    </row>
    <row r="11" spans="1:17" x14ac:dyDescent="0.25">
      <c r="M11" t="str" cm="1">
        <f t="array" ref="M11">INDEX(PivotTable!$A$4:$E$100,SMALL(IF(PivotTable!$A$4:$A$100=PivotTable!$B$1,ROW(PivotTable!$A$4:$A$100)-3),ROW(A1)),2)</f>
        <v>Bermuda Masculino</v>
      </c>
      <c r="N11" s="8" cm="1">
        <f t="array" ref="N11">INDEX(PivotTable!$A$4:$E$100,SMALL(IF(PivotTable!$A$4:$A$100=PivotTable!$B$1,ROW(PivotTable!$A$4:$A$100)-3),ROW(B1)),5)</f>
        <v>891.36</v>
      </c>
    </row>
    <row r="12" spans="1:17" x14ac:dyDescent="0.25">
      <c r="M12" t="str" cm="1">
        <f t="array" ref="M12">INDEX(PivotTable!$A$4:$E$100,SMALL(IF(PivotTable!$A$4:$A$100=PivotTable!$B$1,ROW(PivotTable!$A$4:$A$100)-3),ROW(A2)),2)</f>
        <v>Camisa Masculina</v>
      </c>
      <c r="N12" s="8" cm="1">
        <f t="array" ref="N12">INDEX(PivotTable!$A$4:$E$100,SMALL(IF(PivotTable!$A$4:$A$100=PivotTable!$B$1,ROW(PivotTable!$A$4:$A$100)-3),ROW(B2)),5)</f>
        <v>153.4</v>
      </c>
    </row>
    <row r="13" spans="1:17" x14ac:dyDescent="0.25">
      <c r="M13" t="str" cm="1">
        <f t="array" ref="M13">INDEX(PivotTable!$A$4:$E$100,SMALL(IF(PivotTable!$A$4:$A$100=PivotTable!$B$1,ROW(PivotTable!$A$4:$A$100)-3),ROW(A3)),2)</f>
        <v>Camisa Térmica</v>
      </c>
      <c r="N13" s="8" cm="1">
        <f t="array" ref="N13">INDEX(PivotTable!$A$4:$E$100,SMALL(IF(PivotTable!$A$4:$A$100=PivotTable!$B$1,ROW(PivotTable!$A$4:$A$100)-3),ROW(B3)),5)</f>
        <v>83.8</v>
      </c>
    </row>
    <row r="14" spans="1:17" x14ac:dyDescent="0.25">
      <c r="M14" t="str" cm="1">
        <f t="array" ref="M14">INDEX(PivotTable!$A$4:$E$100,SMALL(IF(PivotTable!$A$4:$A$100=PivotTable!$B$1,ROW(PivotTable!$A$4:$A$100)-3),ROW(A4)),2)</f>
        <v>Kit de Pinceis de Maquiagem</v>
      </c>
      <c r="N14" s="8" cm="1">
        <f t="array" ref="N14">INDEX(PivotTable!$A$4:$E$100,SMALL(IF(PivotTable!$A$4:$A$100=PivotTable!$B$1,ROW(PivotTable!$A$4:$A$100)-3),ROW(B4)),5)</f>
        <v>466.08</v>
      </c>
    </row>
    <row r="15" spans="1:17" x14ac:dyDescent="0.25"/>
    <row r="16" spans="1:17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</sheetData>
  <mergeCells count="1">
    <mergeCell ref="B1:K1"/>
  </mergeCells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DA93-D37F-4379-B825-B61615FA0954}">
  <dimension ref="F3:Q5"/>
  <sheetViews>
    <sheetView showGridLines="0" tabSelected="1" workbookViewId="0">
      <selection activeCell="O6" sqref="O6"/>
    </sheetView>
  </sheetViews>
  <sheetFormatPr defaultRowHeight="15" x14ac:dyDescent="0.25"/>
  <cols>
    <col min="10" max="10" width="11.42578125" bestFit="1" customWidth="1"/>
    <col min="15" max="15" width="18.140625" customWidth="1"/>
    <col min="16" max="16" width="12.5703125" customWidth="1"/>
  </cols>
  <sheetData>
    <row r="3" spans="6:17" ht="21" x14ac:dyDescent="0.35">
      <c r="F3" s="20">
        <f>SUMIF('Tabela Dinamica Dados Vendedor'!C:C,"Feminino",'Tabela Dinamica Dados Vendedor'!E:E)</f>
        <v>4269.7300000000005</v>
      </c>
      <c r="G3" s="20"/>
      <c r="H3" s="20"/>
      <c r="I3" s="20"/>
      <c r="J3" s="21">
        <f>SUMIF('Tabela Dinamica Dados Vendedor'!C:C,"Masculino",'Tabela Dinamica Dados Vendedor'!E:E)</f>
        <v>3742.24</v>
      </c>
      <c r="K3" s="21"/>
      <c r="L3" s="21"/>
      <c r="M3" s="21"/>
    </row>
    <row r="5" spans="6:17" x14ac:dyDescent="0.25">
      <c r="O5" t="s">
        <v>69</v>
      </c>
      <c r="P5" t="s">
        <v>70</v>
      </c>
      <c r="Q5" t="s">
        <v>59</v>
      </c>
    </row>
  </sheetData>
  <mergeCells count="2">
    <mergeCell ref="F3:I3"/>
    <mergeCell ref="J3:M3"/>
  </mergeCells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8D0A-2395-4808-80BB-11093BA7F38E}">
  <dimension ref="A2:E11"/>
  <sheetViews>
    <sheetView workbookViewId="0">
      <selection activeCell="A4" sqref="A4"/>
    </sheetView>
  </sheetViews>
  <sheetFormatPr defaultRowHeight="15" x14ac:dyDescent="0.25"/>
  <cols>
    <col min="1" max="1" width="19.28515625" bestFit="1" customWidth="1"/>
    <col min="2" max="2" width="19.7109375" bestFit="1" customWidth="1"/>
    <col min="3" max="3" width="10" bestFit="1" customWidth="1"/>
    <col min="4" max="4" width="19.7109375" bestFit="1" customWidth="1"/>
    <col min="5" max="5" width="16.5703125" bestFit="1" customWidth="1"/>
  </cols>
  <sheetData>
    <row r="2" spans="1:5" x14ac:dyDescent="0.25">
      <c r="A2" s="2" t="s">
        <v>32</v>
      </c>
      <c r="B2" t="s">
        <v>71</v>
      </c>
    </row>
    <row r="4" spans="1:5" x14ac:dyDescent="0.25">
      <c r="A4" s="2" t="s">
        <v>33</v>
      </c>
      <c r="B4" s="2" t="s">
        <v>0</v>
      </c>
      <c r="C4" s="2" t="s">
        <v>34</v>
      </c>
      <c r="D4" t="s">
        <v>63</v>
      </c>
      <c r="E4" t="s">
        <v>64</v>
      </c>
    </row>
    <row r="5" spans="1:5" x14ac:dyDescent="0.25">
      <c r="A5" t="s">
        <v>37</v>
      </c>
      <c r="B5" t="s">
        <v>9</v>
      </c>
      <c r="C5" t="s">
        <v>38</v>
      </c>
      <c r="D5">
        <v>16</v>
      </c>
      <c r="E5" s="1">
        <v>1956.14</v>
      </c>
    </row>
    <row r="6" spans="1:5" x14ac:dyDescent="0.25">
      <c r="A6" t="s">
        <v>37</v>
      </c>
      <c r="B6" t="s">
        <v>6</v>
      </c>
      <c r="C6" t="s">
        <v>38</v>
      </c>
      <c r="D6">
        <v>18</v>
      </c>
      <c r="E6" s="1">
        <v>1754.24</v>
      </c>
    </row>
    <row r="7" spans="1:5" x14ac:dyDescent="0.25">
      <c r="A7" t="s">
        <v>37</v>
      </c>
      <c r="B7" t="s">
        <v>5</v>
      </c>
      <c r="C7" t="s">
        <v>39</v>
      </c>
      <c r="D7">
        <v>12</v>
      </c>
      <c r="E7" s="1">
        <v>1817.51</v>
      </c>
    </row>
    <row r="8" spans="1:5" x14ac:dyDescent="0.25">
      <c r="A8" t="s">
        <v>41</v>
      </c>
      <c r="B8" t="s">
        <v>22</v>
      </c>
      <c r="C8" t="s">
        <v>38</v>
      </c>
      <c r="D8">
        <v>8</v>
      </c>
      <c r="E8" s="1">
        <v>559.35</v>
      </c>
    </row>
    <row r="9" spans="1:5" x14ac:dyDescent="0.25">
      <c r="A9" t="s">
        <v>41</v>
      </c>
      <c r="B9" t="s">
        <v>23</v>
      </c>
      <c r="C9" t="s">
        <v>39</v>
      </c>
      <c r="D9">
        <v>6</v>
      </c>
      <c r="E9" s="1">
        <v>969.99</v>
      </c>
    </row>
    <row r="10" spans="1:5" x14ac:dyDescent="0.25">
      <c r="A10" t="s">
        <v>41</v>
      </c>
      <c r="B10" t="s">
        <v>11</v>
      </c>
      <c r="C10" t="s">
        <v>39</v>
      </c>
      <c r="D10">
        <v>20</v>
      </c>
      <c r="E10" s="1">
        <v>954.74</v>
      </c>
    </row>
    <row r="11" spans="1:5" x14ac:dyDescent="0.25">
      <c r="A11" t="s">
        <v>42</v>
      </c>
      <c r="D11">
        <v>80</v>
      </c>
      <c r="E11" s="1">
        <v>8011.97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12B1-5A5C-448C-ABD7-D9D8C6A2630E}">
  <dimension ref="A1:D6"/>
  <sheetViews>
    <sheetView showGridLines="0" workbookViewId="0">
      <selection activeCell="G18" sqref="G18:K33"/>
    </sheetView>
  </sheetViews>
  <sheetFormatPr defaultRowHeight="15" x14ac:dyDescent="0.25"/>
  <cols>
    <col min="1" max="1" width="17.42578125" bestFit="1" customWidth="1"/>
    <col min="4" max="4" width="13.28515625" bestFit="1" customWidth="1"/>
  </cols>
  <sheetData>
    <row r="1" spans="1:4" x14ac:dyDescent="0.25">
      <c r="A1" t="s">
        <v>65</v>
      </c>
      <c r="B1" t="s">
        <v>67</v>
      </c>
      <c r="C1" t="s">
        <v>59</v>
      </c>
    </row>
    <row r="2" spans="1:4" x14ac:dyDescent="0.25">
      <c r="A2" t="s">
        <v>66</v>
      </c>
      <c r="B2" s="18">
        <f>SUMIF('Tabela Dinamica Dados Vendedor'!C:C,"Feminino",'Tabela Dinamica Dados Vendedor'!E:E)/D2</f>
        <v>0.53291887014055228</v>
      </c>
      <c r="C2" s="7">
        <v>1</v>
      </c>
      <c r="D2" s="5">
        <f>SUM('Tabela Dinamica Dados Vendedor'!E:E)/2</f>
        <v>8011.97</v>
      </c>
    </row>
    <row r="5" spans="1:4" x14ac:dyDescent="0.25">
      <c r="A5" t="s">
        <v>68</v>
      </c>
      <c r="B5" t="s">
        <v>67</v>
      </c>
      <c r="C5" t="s">
        <v>59</v>
      </c>
    </row>
    <row r="6" spans="1:4" x14ac:dyDescent="0.25">
      <c r="A6" t="s">
        <v>66</v>
      </c>
      <c r="B6" s="18">
        <f>SUMIF('Tabela Dinamica Dados Vendedor'!C:C,"Masculino",'Tabela Dinamica Dados Vendedor'!E:E)/D2</f>
        <v>0.46708112985944777</v>
      </c>
      <c r="C6" s="7"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97E22-8CEF-4148-A8DE-24CC4673E0C8}">
  <dimension ref="A1:L13"/>
  <sheetViews>
    <sheetView showGridLines="0" workbookViewId="0">
      <selection activeCell="C4" sqref="C4:L13"/>
    </sheetView>
  </sheetViews>
  <sheetFormatPr defaultRowHeight="15" x14ac:dyDescent="0.25"/>
  <cols>
    <col min="3" max="3" width="4" customWidth="1"/>
    <col min="4" max="4" width="4.5703125" bestFit="1" customWidth="1"/>
    <col min="5" max="12" width="4" customWidth="1"/>
  </cols>
  <sheetData>
    <row r="1" spans="1:12" x14ac:dyDescent="0.25">
      <c r="A1" s="12">
        <f>'Gráfico Velocímetro'!D10</f>
        <v>1.16587</v>
      </c>
    </row>
    <row r="4" spans="1:12" x14ac:dyDescent="0.25">
      <c r="C4" s="13">
        <f t="shared" ref="C4:C11" si="0">C5+10/100</f>
        <v>0.90999999999999992</v>
      </c>
      <c r="D4" s="13">
        <f t="shared" ref="D4:D12" si="1">D5+10/100</f>
        <v>0.91999999999999993</v>
      </c>
      <c r="E4" s="13">
        <f t="shared" ref="E4:E12" si="2">E5+10/100</f>
        <v>0.92999999999999994</v>
      </c>
      <c r="F4" s="13">
        <f t="shared" ref="F4:F12" si="3">F5+10/100</f>
        <v>0.94</v>
      </c>
      <c r="G4" s="13">
        <f t="shared" ref="G4:G12" si="4">G5+10/100</f>
        <v>0.94999999999999984</v>
      </c>
      <c r="H4" s="13">
        <f t="shared" ref="H4:H12" si="5">H5+10/100</f>
        <v>0.95999999999999985</v>
      </c>
      <c r="I4" s="13">
        <f t="shared" ref="I4:I12" si="6">I5+10/100</f>
        <v>0.96999999999999986</v>
      </c>
      <c r="J4" s="13">
        <f t="shared" ref="J4:J12" si="7">J5+10/100</f>
        <v>0.97999999999999987</v>
      </c>
      <c r="K4" s="13">
        <f t="shared" ref="K4:K12" si="8">K5+10/100</f>
        <v>0.98999999999999988</v>
      </c>
      <c r="L4" s="13">
        <f t="shared" ref="L4:L12" si="9">L5+10/100</f>
        <v>0.99999999999999989</v>
      </c>
    </row>
    <row r="5" spans="1:12" x14ac:dyDescent="0.25">
      <c r="C5" s="13">
        <f t="shared" si="0"/>
        <v>0.80999999999999994</v>
      </c>
      <c r="D5" s="13">
        <f t="shared" si="1"/>
        <v>0.82</v>
      </c>
      <c r="E5" s="13">
        <f t="shared" si="2"/>
        <v>0.83</v>
      </c>
      <c r="F5" s="13">
        <f t="shared" si="3"/>
        <v>0.84</v>
      </c>
      <c r="G5" s="13">
        <f t="shared" si="4"/>
        <v>0.84999999999999987</v>
      </c>
      <c r="H5" s="13">
        <f t="shared" si="5"/>
        <v>0.85999999999999988</v>
      </c>
      <c r="I5" s="13">
        <f t="shared" si="6"/>
        <v>0.86999999999999988</v>
      </c>
      <c r="J5" s="13">
        <f t="shared" si="7"/>
        <v>0.87999999999999989</v>
      </c>
      <c r="K5" s="13">
        <f t="shared" si="8"/>
        <v>0.8899999999999999</v>
      </c>
      <c r="L5" s="13">
        <f t="shared" si="9"/>
        <v>0.89999999999999991</v>
      </c>
    </row>
    <row r="6" spans="1:12" x14ac:dyDescent="0.25">
      <c r="C6" s="13">
        <f t="shared" si="0"/>
        <v>0.71</v>
      </c>
      <c r="D6" s="13">
        <f t="shared" si="1"/>
        <v>0.72</v>
      </c>
      <c r="E6" s="13">
        <f t="shared" si="2"/>
        <v>0.73</v>
      </c>
      <c r="F6" s="13">
        <f t="shared" si="3"/>
        <v>0.74</v>
      </c>
      <c r="G6" s="13">
        <f t="shared" si="4"/>
        <v>0.74999999999999989</v>
      </c>
      <c r="H6" s="13">
        <f t="shared" si="5"/>
        <v>0.7599999999999999</v>
      </c>
      <c r="I6" s="13">
        <f t="shared" si="6"/>
        <v>0.76999999999999991</v>
      </c>
      <c r="J6" s="13">
        <f t="shared" si="7"/>
        <v>0.77999999999999992</v>
      </c>
      <c r="K6" s="13">
        <f t="shared" si="8"/>
        <v>0.78999999999999992</v>
      </c>
      <c r="L6" s="13">
        <f t="shared" si="9"/>
        <v>0.79999999999999993</v>
      </c>
    </row>
    <row r="7" spans="1:12" x14ac:dyDescent="0.25">
      <c r="C7" s="13">
        <f t="shared" si="0"/>
        <v>0.61</v>
      </c>
      <c r="D7" s="13">
        <f t="shared" si="1"/>
        <v>0.62</v>
      </c>
      <c r="E7" s="13">
        <f t="shared" si="2"/>
        <v>0.63</v>
      </c>
      <c r="F7" s="13">
        <f t="shared" si="3"/>
        <v>0.64</v>
      </c>
      <c r="G7" s="13">
        <f t="shared" si="4"/>
        <v>0.64999999999999991</v>
      </c>
      <c r="H7" s="13">
        <f t="shared" si="5"/>
        <v>0.65999999999999992</v>
      </c>
      <c r="I7" s="13">
        <f t="shared" si="6"/>
        <v>0.66999999999999993</v>
      </c>
      <c r="J7" s="13">
        <f t="shared" si="7"/>
        <v>0.67999999999999994</v>
      </c>
      <c r="K7" s="13">
        <f t="shared" si="8"/>
        <v>0.69</v>
      </c>
      <c r="L7" s="13">
        <f t="shared" si="9"/>
        <v>0.7</v>
      </c>
    </row>
    <row r="8" spans="1:12" x14ac:dyDescent="0.25">
      <c r="C8" s="13">
        <f t="shared" si="0"/>
        <v>0.51</v>
      </c>
      <c r="D8" s="13">
        <f t="shared" si="1"/>
        <v>0.52</v>
      </c>
      <c r="E8" s="13">
        <f t="shared" si="2"/>
        <v>0.53</v>
      </c>
      <c r="F8" s="13">
        <f t="shared" si="3"/>
        <v>0.54</v>
      </c>
      <c r="G8" s="13">
        <f t="shared" si="4"/>
        <v>0.54999999999999993</v>
      </c>
      <c r="H8" s="13">
        <f t="shared" si="5"/>
        <v>0.55999999999999994</v>
      </c>
      <c r="I8" s="13">
        <f t="shared" si="6"/>
        <v>0.56999999999999995</v>
      </c>
      <c r="J8" s="13">
        <f t="shared" si="7"/>
        <v>0.57999999999999996</v>
      </c>
      <c r="K8" s="13">
        <f t="shared" si="8"/>
        <v>0.59</v>
      </c>
      <c r="L8" s="13">
        <f t="shared" si="9"/>
        <v>0.6</v>
      </c>
    </row>
    <row r="9" spans="1:12" x14ac:dyDescent="0.25">
      <c r="C9" s="13">
        <f t="shared" si="0"/>
        <v>0.41000000000000003</v>
      </c>
      <c r="D9" s="13">
        <f t="shared" si="1"/>
        <v>0.42000000000000004</v>
      </c>
      <c r="E9" s="13">
        <f t="shared" si="2"/>
        <v>0.43000000000000005</v>
      </c>
      <c r="F9" s="13">
        <f t="shared" si="3"/>
        <v>0.44000000000000006</v>
      </c>
      <c r="G9" s="13">
        <f t="shared" si="4"/>
        <v>0.44999999999999996</v>
      </c>
      <c r="H9" s="13">
        <f t="shared" si="5"/>
        <v>0.45999999999999996</v>
      </c>
      <c r="I9" s="13">
        <f t="shared" si="6"/>
        <v>0.47</v>
      </c>
      <c r="J9" s="13">
        <f t="shared" si="7"/>
        <v>0.48</v>
      </c>
      <c r="K9" s="13">
        <f t="shared" si="8"/>
        <v>0.49</v>
      </c>
      <c r="L9" s="13">
        <f t="shared" si="9"/>
        <v>0.5</v>
      </c>
    </row>
    <row r="10" spans="1:12" x14ac:dyDescent="0.25">
      <c r="C10" s="13">
        <f t="shared" si="0"/>
        <v>0.31000000000000005</v>
      </c>
      <c r="D10" s="13">
        <f t="shared" si="1"/>
        <v>0.32000000000000006</v>
      </c>
      <c r="E10" s="13">
        <f t="shared" si="2"/>
        <v>0.33</v>
      </c>
      <c r="F10" s="13">
        <f t="shared" si="3"/>
        <v>0.34</v>
      </c>
      <c r="G10" s="13">
        <f t="shared" si="4"/>
        <v>0.35</v>
      </c>
      <c r="H10" s="13">
        <f t="shared" si="5"/>
        <v>0.36</v>
      </c>
      <c r="I10" s="13">
        <f t="shared" si="6"/>
        <v>0.37</v>
      </c>
      <c r="J10" s="13">
        <f t="shared" si="7"/>
        <v>0.38</v>
      </c>
      <c r="K10" s="13">
        <f t="shared" si="8"/>
        <v>0.39</v>
      </c>
      <c r="L10" s="13">
        <f t="shared" si="9"/>
        <v>0.4</v>
      </c>
    </row>
    <row r="11" spans="1:12" x14ac:dyDescent="0.25">
      <c r="C11" s="13">
        <f t="shared" si="0"/>
        <v>0.21000000000000002</v>
      </c>
      <c r="D11" s="13">
        <f t="shared" si="1"/>
        <v>0.22000000000000003</v>
      </c>
      <c r="E11" s="13">
        <f t="shared" si="2"/>
        <v>0.23</v>
      </c>
      <c r="F11" s="13">
        <f t="shared" si="3"/>
        <v>0.24000000000000002</v>
      </c>
      <c r="G11" s="13">
        <f t="shared" si="4"/>
        <v>0.25</v>
      </c>
      <c r="H11" s="13">
        <f t="shared" si="5"/>
        <v>0.26</v>
      </c>
      <c r="I11" s="13">
        <f t="shared" si="6"/>
        <v>0.27</v>
      </c>
      <c r="J11" s="13">
        <f t="shared" si="7"/>
        <v>0.28000000000000003</v>
      </c>
      <c r="K11" s="13">
        <f t="shared" si="8"/>
        <v>0.29000000000000004</v>
      </c>
      <c r="L11" s="13">
        <f t="shared" si="9"/>
        <v>0.30000000000000004</v>
      </c>
    </row>
    <row r="12" spans="1:12" x14ac:dyDescent="0.25">
      <c r="C12" s="13">
        <f>C13+10/100</f>
        <v>0.11</v>
      </c>
      <c r="D12" s="13">
        <f t="shared" si="1"/>
        <v>0.12000000000000001</v>
      </c>
      <c r="E12" s="13">
        <f t="shared" si="2"/>
        <v>0.13</v>
      </c>
      <c r="F12" s="13">
        <f t="shared" si="3"/>
        <v>0.14000000000000001</v>
      </c>
      <c r="G12" s="13">
        <f t="shared" si="4"/>
        <v>0.15000000000000002</v>
      </c>
      <c r="H12" s="13">
        <f t="shared" si="5"/>
        <v>0.16</v>
      </c>
      <c r="I12" s="13">
        <f t="shared" si="6"/>
        <v>0.17</v>
      </c>
      <c r="J12" s="13">
        <f t="shared" si="7"/>
        <v>0.18</v>
      </c>
      <c r="K12" s="13">
        <f t="shared" si="8"/>
        <v>0.19</v>
      </c>
      <c r="L12" s="13">
        <f t="shared" si="9"/>
        <v>0.2</v>
      </c>
    </row>
    <row r="13" spans="1:12" x14ac:dyDescent="0.25">
      <c r="C13" s="13">
        <v>0.01</v>
      </c>
      <c r="D13" s="13">
        <f>C13+1/100</f>
        <v>0.02</v>
      </c>
      <c r="E13" s="13">
        <f t="shared" ref="E13:L13" si="10">D13+1/100</f>
        <v>0.03</v>
      </c>
      <c r="F13" s="13">
        <f t="shared" si="10"/>
        <v>0.04</v>
      </c>
      <c r="G13" s="13">
        <f t="shared" si="10"/>
        <v>0.05</v>
      </c>
      <c r="H13" s="13">
        <f t="shared" si="10"/>
        <v>6.0000000000000005E-2</v>
      </c>
      <c r="I13" s="13">
        <f t="shared" si="10"/>
        <v>7.0000000000000007E-2</v>
      </c>
      <c r="J13" s="13">
        <f t="shared" si="10"/>
        <v>0.08</v>
      </c>
      <c r="K13" s="13">
        <f t="shared" si="10"/>
        <v>0.09</v>
      </c>
      <c r="L13" s="13">
        <f t="shared" si="10"/>
        <v>9.9999999999999992E-2</v>
      </c>
    </row>
  </sheetData>
  <conditionalFormatting sqref="C4:L13">
    <cfRule type="cellIs" dxfId="0" priority="1" operator="between">
      <formula>0</formula>
      <formula>$A$1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6804B-EBA2-4199-BFD4-ED97F6C40E1B}">
  <dimension ref="A1:D13"/>
  <sheetViews>
    <sheetView showGridLines="0" workbookViewId="0">
      <selection activeCell="E10" sqref="E10"/>
    </sheetView>
  </sheetViews>
  <sheetFormatPr defaultRowHeight="15" x14ac:dyDescent="0.25"/>
  <cols>
    <col min="1" max="1" width="22.42578125" bestFit="1" customWidth="1"/>
    <col min="2" max="2" width="13.28515625" bestFit="1" customWidth="1"/>
  </cols>
  <sheetData>
    <row r="1" spans="1:4" x14ac:dyDescent="0.25">
      <c r="A1" s="3" t="s">
        <v>47</v>
      </c>
    </row>
    <row r="2" spans="1:4" x14ac:dyDescent="0.25">
      <c r="A2" t="s">
        <v>48</v>
      </c>
      <c r="B2" s="5">
        <f>$B$6/4</f>
        <v>500</v>
      </c>
    </row>
    <row r="3" spans="1:4" x14ac:dyDescent="0.25">
      <c r="A3" t="s">
        <v>51</v>
      </c>
      <c r="B3" s="5">
        <f t="shared" ref="B3:B5" si="0">$B$6/4</f>
        <v>500</v>
      </c>
    </row>
    <row r="4" spans="1:4" x14ac:dyDescent="0.25">
      <c r="A4" t="s">
        <v>49</v>
      </c>
      <c r="B4" s="5">
        <f t="shared" si="0"/>
        <v>500</v>
      </c>
    </row>
    <row r="5" spans="1:4" x14ac:dyDescent="0.25">
      <c r="A5" t="s">
        <v>56</v>
      </c>
      <c r="B5" s="5">
        <f t="shared" si="0"/>
        <v>500</v>
      </c>
    </row>
    <row r="6" spans="1:4" x14ac:dyDescent="0.25">
      <c r="A6" t="s">
        <v>50</v>
      </c>
      <c r="B6" s="5">
        <v>2000</v>
      </c>
    </row>
    <row r="9" spans="1:4" x14ac:dyDescent="0.25">
      <c r="A9" s="3" t="s">
        <v>52</v>
      </c>
      <c r="D9" t="s">
        <v>57</v>
      </c>
    </row>
    <row r="10" spans="1:4" x14ac:dyDescent="0.25">
      <c r="A10" t="s">
        <v>53</v>
      </c>
      <c r="B10" s="5">
        <f>SUM(PivotTable!E:E)/2</f>
        <v>2331.7399999999998</v>
      </c>
      <c r="D10" s="7">
        <f>B10/B6</f>
        <v>1.16587</v>
      </c>
    </row>
    <row r="11" spans="1:4" x14ac:dyDescent="0.25">
      <c r="A11" t="s">
        <v>54</v>
      </c>
      <c r="B11" s="5">
        <v>30</v>
      </c>
      <c r="D11" s="7"/>
    </row>
    <row r="12" spans="1:4" x14ac:dyDescent="0.25">
      <c r="A12" t="s">
        <v>55</v>
      </c>
      <c r="B12" s="6">
        <f>B6*2-(B10+B11)</f>
        <v>1638.2600000000002</v>
      </c>
      <c r="D12" t="s">
        <v>58</v>
      </c>
    </row>
    <row r="13" spans="1:4" x14ac:dyDescent="0.25">
      <c r="D13">
        <f>SUM(PivotTable!C:C)/2</f>
        <v>22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018E-27A5-47D7-86DC-3AE7E0B9AE2B}">
  <dimension ref="A1:F9"/>
  <sheetViews>
    <sheetView workbookViewId="0"/>
  </sheetViews>
  <sheetFormatPr defaultRowHeight="15" x14ac:dyDescent="0.25"/>
  <cols>
    <col min="1" max="2" width="13.7109375" bestFit="1" customWidth="1"/>
    <col min="3" max="3" width="17.42578125" bestFit="1" customWidth="1"/>
    <col min="4" max="4" width="10" bestFit="1" customWidth="1"/>
    <col min="5" max="5" width="13.5703125" customWidth="1"/>
    <col min="6" max="6" width="10.7109375" bestFit="1" customWidth="1"/>
  </cols>
  <sheetData>
    <row r="1" spans="1:6" x14ac:dyDescent="0.25">
      <c r="A1" t="s">
        <v>32</v>
      </c>
      <c r="B1" t="s">
        <v>33</v>
      </c>
      <c r="C1" t="s">
        <v>0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 t="s">
        <v>37</v>
      </c>
      <c r="C2" t="s">
        <v>9</v>
      </c>
      <c r="D2" t="s">
        <v>38</v>
      </c>
      <c r="E2">
        <v>16</v>
      </c>
      <c r="F2" s="1">
        <v>1956.14</v>
      </c>
    </row>
    <row r="3" spans="1:6" x14ac:dyDescent="0.25">
      <c r="A3" t="s">
        <v>41</v>
      </c>
      <c r="B3" t="s">
        <v>41</v>
      </c>
      <c r="C3" t="s">
        <v>22</v>
      </c>
      <c r="D3" t="s">
        <v>38</v>
      </c>
      <c r="E3">
        <v>8</v>
      </c>
      <c r="F3" s="1">
        <v>559.35</v>
      </c>
    </row>
    <row r="4" spans="1:6" x14ac:dyDescent="0.25">
      <c r="A4" t="s">
        <v>41</v>
      </c>
      <c r="B4" t="s">
        <v>41</v>
      </c>
      <c r="C4" t="s">
        <v>23</v>
      </c>
      <c r="D4" t="s">
        <v>39</v>
      </c>
      <c r="E4">
        <v>6</v>
      </c>
      <c r="F4" s="1">
        <v>969.99</v>
      </c>
    </row>
    <row r="5" spans="1:6" x14ac:dyDescent="0.25">
      <c r="A5" t="s">
        <v>37</v>
      </c>
      <c r="B5" t="s">
        <v>37</v>
      </c>
      <c r="C5" t="s">
        <v>6</v>
      </c>
      <c r="D5" t="s">
        <v>38</v>
      </c>
      <c r="E5">
        <v>18</v>
      </c>
      <c r="F5" s="1">
        <v>1754.24</v>
      </c>
    </row>
    <row r="6" spans="1:6" x14ac:dyDescent="0.25">
      <c r="A6" t="s">
        <v>40</v>
      </c>
      <c r="B6" t="s">
        <v>40</v>
      </c>
      <c r="C6" t="s">
        <v>13</v>
      </c>
      <c r="D6" t="s">
        <v>38</v>
      </c>
      <c r="E6">
        <v>7</v>
      </c>
      <c r="F6" s="1">
        <v>1691.22</v>
      </c>
    </row>
    <row r="7" spans="1:6" x14ac:dyDescent="0.25">
      <c r="A7" t="s">
        <v>37</v>
      </c>
      <c r="B7" t="s">
        <v>37</v>
      </c>
      <c r="C7" t="s">
        <v>5</v>
      </c>
      <c r="D7" t="s">
        <v>39</v>
      </c>
      <c r="E7">
        <v>12</v>
      </c>
      <c r="F7" s="1">
        <v>1817.51</v>
      </c>
    </row>
    <row r="8" spans="1:6" x14ac:dyDescent="0.25">
      <c r="A8" t="s">
        <v>40</v>
      </c>
      <c r="B8" t="s">
        <v>40</v>
      </c>
      <c r="C8" t="s">
        <v>7</v>
      </c>
      <c r="D8" t="s">
        <v>39</v>
      </c>
      <c r="E8">
        <v>16</v>
      </c>
      <c r="F8" s="1">
        <v>2331.7399999999998</v>
      </c>
    </row>
    <row r="9" spans="1:6" x14ac:dyDescent="0.25">
      <c r="A9" t="s">
        <v>41</v>
      </c>
      <c r="B9" t="s">
        <v>41</v>
      </c>
      <c r="C9" t="s">
        <v>11</v>
      </c>
      <c r="D9" t="s">
        <v>39</v>
      </c>
      <c r="E9">
        <v>20</v>
      </c>
      <c r="F9" s="1">
        <v>954.74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29DE-E3BB-4FDD-8A48-05785177B3F6}">
  <dimension ref="A1:K9"/>
  <sheetViews>
    <sheetView showGridLines="0" workbookViewId="0">
      <selection activeCell="A3" sqref="A3"/>
    </sheetView>
  </sheetViews>
  <sheetFormatPr defaultRowHeight="15" x14ac:dyDescent="0.25"/>
  <cols>
    <col min="1" max="1" width="32.42578125" bestFit="1" customWidth="1"/>
    <col min="2" max="2" width="27" bestFit="1" customWidth="1"/>
    <col min="3" max="3" width="26.7109375" bestFit="1" customWidth="1"/>
    <col min="4" max="4" width="21.85546875" bestFit="1" customWidth="1"/>
    <col min="5" max="5" width="14.42578125" bestFit="1" customWidth="1"/>
    <col min="10" max="10" width="27" bestFit="1" customWidth="1"/>
    <col min="11" max="11" width="14.42578125" bestFit="1" customWidth="1"/>
  </cols>
  <sheetData>
    <row r="1" spans="1:11" x14ac:dyDescent="0.25">
      <c r="A1" s="2" t="s">
        <v>0</v>
      </c>
      <c r="B1" t="s">
        <v>7</v>
      </c>
    </row>
    <row r="3" spans="1:11" x14ac:dyDescent="0.25">
      <c r="A3" s="2" t="s">
        <v>1</v>
      </c>
      <c r="B3" s="2" t="s">
        <v>2</v>
      </c>
      <c r="C3" t="s">
        <v>43</v>
      </c>
      <c r="D3" t="s">
        <v>44</v>
      </c>
      <c r="E3" t="s">
        <v>45</v>
      </c>
      <c r="J3" s="2" t="s">
        <v>61</v>
      </c>
      <c r="K3" t="s">
        <v>45</v>
      </c>
    </row>
    <row r="4" spans="1:11" x14ac:dyDescent="0.25">
      <c r="A4" t="s">
        <v>7</v>
      </c>
      <c r="B4" t="s">
        <v>10</v>
      </c>
      <c r="C4">
        <v>6</v>
      </c>
      <c r="D4">
        <v>148.56</v>
      </c>
      <c r="E4" s="1">
        <v>891.36</v>
      </c>
      <c r="J4" s="11" t="s">
        <v>10</v>
      </c>
      <c r="K4" s="1">
        <v>891.36</v>
      </c>
    </row>
    <row r="5" spans="1:11" x14ac:dyDescent="0.25">
      <c r="A5" t="s">
        <v>7</v>
      </c>
      <c r="B5" t="s">
        <v>8</v>
      </c>
      <c r="C5">
        <v>1</v>
      </c>
      <c r="D5">
        <v>153.4</v>
      </c>
      <c r="E5" s="1">
        <v>153.4</v>
      </c>
      <c r="J5" s="11" t="s">
        <v>8</v>
      </c>
      <c r="K5" s="1">
        <v>153.4</v>
      </c>
    </row>
    <row r="6" spans="1:11" x14ac:dyDescent="0.25">
      <c r="A6" t="s">
        <v>7</v>
      </c>
      <c r="B6" t="s">
        <v>28</v>
      </c>
      <c r="C6">
        <v>2</v>
      </c>
      <c r="D6">
        <v>41.9</v>
      </c>
      <c r="E6" s="1">
        <v>83.8</v>
      </c>
      <c r="J6" s="11" t="s">
        <v>28</v>
      </c>
      <c r="K6" s="1">
        <v>83.8</v>
      </c>
    </row>
    <row r="7" spans="1:11" x14ac:dyDescent="0.25">
      <c r="A7" t="s">
        <v>7</v>
      </c>
      <c r="B7" t="s">
        <v>17</v>
      </c>
      <c r="C7">
        <v>4</v>
      </c>
      <c r="D7">
        <v>233.04</v>
      </c>
      <c r="E7" s="1">
        <v>466.08</v>
      </c>
      <c r="J7" s="11" t="s">
        <v>17</v>
      </c>
      <c r="K7" s="1">
        <v>466.08</v>
      </c>
    </row>
    <row r="8" spans="1:11" x14ac:dyDescent="0.25">
      <c r="A8" t="s">
        <v>7</v>
      </c>
      <c r="B8" t="s">
        <v>19</v>
      </c>
      <c r="C8">
        <v>9</v>
      </c>
      <c r="D8">
        <v>81.900000000000006</v>
      </c>
      <c r="E8" s="1">
        <v>737.1</v>
      </c>
      <c r="J8" s="11" t="s">
        <v>19</v>
      </c>
      <c r="K8" s="1">
        <v>737.1</v>
      </c>
    </row>
    <row r="9" spans="1:11" x14ac:dyDescent="0.25">
      <c r="A9" t="s">
        <v>42</v>
      </c>
      <c r="C9">
        <v>22</v>
      </c>
      <c r="D9">
        <v>658.8</v>
      </c>
      <c r="E9" s="1">
        <v>2331.7399999999998</v>
      </c>
      <c r="J9" s="11" t="s">
        <v>42</v>
      </c>
      <c r="K9" s="1">
        <v>2331.7399999999998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83A1-064B-4E78-A12C-77460512D36D}">
  <dimension ref="A1:F38"/>
  <sheetViews>
    <sheetView workbookViewId="0"/>
  </sheetViews>
  <sheetFormatPr defaultRowHeight="15" x14ac:dyDescent="0.25"/>
  <cols>
    <col min="1" max="2" width="17.42578125" bestFit="1" customWidth="1"/>
    <col min="3" max="3" width="28.5703125" bestFit="1" customWidth="1"/>
    <col min="4" max="4" width="15.5703125" bestFit="1" customWidth="1"/>
    <col min="5" max="5" width="20.28515625" customWidth="1"/>
    <col min="6" max="6" width="1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31</v>
      </c>
      <c r="E1" t="s">
        <v>3</v>
      </c>
      <c r="F1" t="s">
        <v>4</v>
      </c>
    </row>
    <row r="2" spans="1:6" x14ac:dyDescent="0.25">
      <c r="A2" t="s">
        <v>5</v>
      </c>
      <c r="B2" t="s">
        <v>5</v>
      </c>
      <c r="C2" t="s">
        <v>25</v>
      </c>
      <c r="D2">
        <v>89.99</v>
      </c>
      <c r="E2">
        <v>3</v>
      </c>
      <c r="F2" s="1">
        <v>269.97000000000003</v>
      </c>
    </row>
    <row r="3" spans="1:6" x14ac:dyDescent="0.25">
      <c r="A3" t="s">
        <v>6</v>
      </c>
      <c r="B3" t="s">
        <v>6</v>
      </c>
      <c r="C3" t="s">
        <v>26</v>
      </c>
      <c r="D3">
        <v>69.989999999999995</v>
      </c>
      <c r="E3">
        <v>5</v>
      </c>
      <c r="F3" s="1">
        <v>349.95</v>
      </c>
    </row>
    <row r="4" spans="1:6" x14ac:dyDescent="0.25">
      <c r="A4" t="s">
        <v>7</v>
      </c>
      <c r="B4" t="s">
        <v>7</v>
      </c>
      <c r="C4" t="s">
        <v>8</v>
      </c>
      <c r="D4">
        <v>153.4</v>
      </c>
      <c r="E4">
        <v>1</v>
      </c>
      <c r="F4" s="1">
        <v>153.4</v>
      </c>
    </row>
    <row r="5" spans="1:6" x14ac:dyDescent="0.25">
      <c r="A5" t="s">
        <v>9</v>
      </c>
      <c r="B5" t="s">
        <v>9</v>
      </c>
      <c r="C5" t="s">
        <v>10</v>
      </c>
      <c r="D5">
        <v>148.56</v>
      </c>
      <c r="E5">
        <v>9</v>
      </c>
      <c r="F5" s="1">
        <v>1337.04</v>
      </c>
    </row>
    <row r="6" spans="1:6" x14ac:dyDescent="0.25">
      <c r="A6" t="s">
        <v>11</v>
      </c>
      <c r="B6" t="s">
        <v>11</v>
      </c>
      <c r="C6" t="s">
        <v>12</v>
      </c>
      <c r="D6">
        <v>146.13999999999999</v>
      </c>
      <c r="E6">
        <v>1</v>
      </c>
      <c r="F6" s="1">
        <v>146.13999999999999</v>
      </c>
    </row>
    <row r="7" spans="1:6" x14ac:dyDescent="0.25">
      <c r="A7" t="s">
        <v>13</v>
      </c>
      <c r="B7" t="s">
        <v>13</v>
      </c>
      <c r="C7" t="s">
        <v>14</v>
      </c>
      <c r="D7">
        <v>224.14</v>
      </c>
      <c r="E7">
        <v>4</v>
      </c>
      <c r="F7" s="1">
        <v>896.56</v>
      </c>
    </row>
    <row r="8" spans="1:6" x14ac:dyDescent="0.25">
      <c r="A8" t="s">
        <v>5</v>
      </c>
      <c r="B8" t="s">
        <v>5</v>
      </c>
      <c r="C8" t="s">
        <v>15</v>
      </c>
      <c r="D8">
        <v>150.5</v>
      </c>
      <c r="E8">
        <v>4</v>
      </c>
      <c r="F8" s="1">
        <v>602</v>
      </c>
    </row>
    <row r="9" spans="1:6" x14ac:dyDescent="0.25">
      <c r="A9" t="s">
        <v>6</v>
      </c>
      <c r="B9" t="s">
        <v>6</v>
      </c>
      <c r="C9" t="s">
        <v>16</v>
      </c>
      <c r="D9">
        <v>248.73</v>
      </c>
      <c r="E9">
        <v>1</v>
      </c>
      <c r="F9" s="1">
        <v>248.73</v>
      </c>
    </row>
    <row r="10" spans="1:6" x14ac:dyDescent="0.25">
      <c r="A10" t="s">
        <v>7</v>
      </c>
      <c r="B10" t="s">
        <v>7</v>
      </c>
      <c r="C10" t="s">
        <v>17</v>
      </c>
      <c r="D10">
        <v>116.52</v>
      </c>
      <c r="E10">
        <v>1</v>
      </c>
      <c r="F10" s="1">
        <v>116.52</v>
      </c>
    </row>
    <row r="11" spans="1:6" x14ac:dyDescent="0.25">
      <c r="A11" t="s">
        <v>9</v>
      </c>
      <c r="B11" t="s">
        <v>9</v>
      </c>
      <c r="C11" t="s">
        <v>18</v>
      </c>
      <c r="D11">
        <v>59.9</v>
      </c>
      <c r="E11">
        <v>1</v>
      </c>
      <c r="F11" s="1">
        <v>59.9</v>
      </c>
    </row>
    <row r="12" spans="1:6" x14ac:dyDescent="0.25">
      <c r="A12" t="s">
        <v>5</v>
      </c>
      <c r="B12" t="s">
        <v>5</v>
      </c>
      <c r="C12" t="s">
        <v>27</v>
      </c>
      <c r="D12">
        <v>46.9</v>
      </c>
      <c r="E12">
        <v>1</v>
      </c>
      <c r="F12" s="1">
        <v>46.9</v>
      </c>
    </row>
    <row r="13" spans="1:6" x14ac:dyDescent="0.25">
      <c r="A13" t="s">
        <v>6</v>
      </c>
      <c r="B13" t="s">
        <v>6</v>
      </c>
      <c r="C13" t="s">
        <v>28</v>
      </c>
      <c r="D13">
        <v>41.9</v>
      </c>
      <c r="E13">
        <v>4</v>
      </c>
      <c r="F13" s="1">
        <v>167.6</v>
      </c>
    </row>
    <row r="14" spans="1:6" x14ac:dyDescent="0.25">
      <c r="A14" t="s">
        <v>7</v>
      </c>
      <c r="B14" t="s">
        <v>7</v>
      </c>
      <c r="C14" t="s">
        <v>19</v>
      </c>
      <c r="D14">
        <v>81.900000000000006</v>
      </c>
      <c r="E14">
        <v>9</v>
      </c>
      <c r="F14" s="1">
        <v>737.1</v>
      </c>
    </row>
    <row r="15" spans="1:6" x14ac:dyDescent="0.25">
      <c r="A15" t="s">
        <v>9</v>
      </c>
      <c r="B15" t="s">
        <v>9</v>
      </c>
      <c r="C15" t="s">
        <v>20</v>
      </c>
      <c r="D15">
        <v>55.9</v>
      </c>
      <c r="E15">
        <v>2</v>
      </c>
      <c r="F15" s="1">
        <v>111.8</v>
      </c>
    </row>
    <row r="16" spans="1:6" x14ac:dyDescent="0.25">
      <c r="A16" t="s">
        <v>6</v>
      </c>
      <c r="B16" t="s">
        <v>6</v>
      </c>
      <c r="C16" t="s">
        <v>21</v>
      </c>
      <c r="D16">
        <v>89.9</v>
      </c>
      <c r="E16">
        <v>1</v>
      </c>
      <c r="F16" s="1">
        <v>89.9</v>
      </c>
    </row>
    <row r="17" spans="1:6" x14ac:dyDescent="0.25">
      <c r="A17" t="s">
        <v>22</v>
      </c>
      <c r="B17" t="s">
        <v>22</v>
      </c>
      <c r="C17" t="s">
        <v>25</v>
      </c>
      <c r="D17">
        <v>89.99</v>
      </c>
      <c r="E17">
        <v>1</v>
      </c>
      <c r="F17" s="1">
        <v>89.99</v>
      </c>
    </row>
    <row r="18" spans="1:6" x14ac:dyDescent="0.25">
      <c r="A18" t="s">
        <v>23</v>
      </c>
      <c r="B18" t="s">
        <v>23</v>
      </c>
      <c r="C18" t="s">
        <v>26</v>
      </c>
      <c r="D18">
        <v>69.989999999999995</v>
      </c>
      <c r="E18">
        <v>1</v>
      </c>
      <c r="F18" s="1">
        <v>69.989999999999995</v>
      </c>
    </row>
    <row r="19" spans="1:6" x14ac:dyDescent="0.25">
      <c r="A19" t="s">
        <v>6</v>
      </c>
      <c r="B19" t="s">
        <v>6</v>
      </c>
      <c r="C19" t="s">
        <v>8</v>
      </c>
      <c r="D19">
        <v>153.4</v>
      </c>
      <c r="E19">
        <v>2</v>
      </c>
      <c r="F19" s="1">
        <v>306.8</v>
      </c>
    </row>
    <row r="20" spans="1:6" x14ac:dyDescent="0.25">
      <c r="A20" t="s">
        <v>7</v>
      </c>
      <c r="B20" t="s">
        <v>7</v>
      </c>
      <c r="C20" t="s">
        <v>10</v>
      </c>
      <c r="D20">
        <v>148.56</v>
      </c>
      <c r="E20">
        <v>6</v>
      </c>
      <c r="F20" s="1">
        <v>891.36</v>
      </c>
    </row>
    <row r="21" spans="1:6" x14ac:dyDescent="0.25">
      <c r="A21" t="s">
        <v>5</v>
      </c>
      <c r="B21" t="s">
        <v>5</v>
      </c>
      <c r="C21" t="s">
        <v>12</v>
      </c>
      <c r="D21">
        <v>146.13999999999999</v>
      </c>
      <c r="E21">
        <v>1</v>
      </c>
      <c r="F21" s="1">
        <v>146.13999999999999</v>
      </c>
    </row>
    <row r="22" spans="1:6" x14ac:dyDescent="0.25">
      <c r="A22" t="s">
        <v>13</v>
      </c>
      <c r="B22" t="s">
        <v>13</v>
      </c>
      <c r="C22" t="s">
        <v>14</v>
      </c>
      <c r="D22">
        <v>224.14</v>
      </c>
      <c r="E22">
        <v>1</v>
      </c>
      <c r="F22" s="1">
        <v>224.14</v>
      </c>
    </row>
    <row r="23" spans="1:6" x14ac:dyDescent="0.25">
      <c r="A23" t="s">
        <v>5</v>
      </c>
      <c r="B23" t="s">
        <v>5</v>
      </c>
      <c r="C23" t="s">
        <v>15</v>
      </c>
      <c r="D23">
        <v>150.5</v>
      </c>
      <c r="E23">
        <v>5</v>
      </c>
      <c r="F23" s="1">
        <v>752.5</v>
      </c>
    </row>
    <row r="24" spans="1:6" x14ac:dyDescent="0.25">
      <c r="A24" t="s">
        <v>6</v>
      </c>
      <c r="B24" t="s">
        <v>6</v>
      </c>
      <c r="C24" t="s">
        <v>16</v>
      </c>
      <c r="D24">
        <v>248.73</v>
      </c>
      <c r="E24">
        <v>2</v>
      </c>
      <c r="F24" s="1">
        <v>497.46</v>
      </c>
    </row>
    <row r="25" spans="1:6" x14ac:dyDescent="0.25">
      <c r="A25" t="s">
        <v>7</v>
      </c>
      <c r="B25" t="s">
        <v>7</v>
      </c>
      <c r="C25" t="s">
        <v>17</v>
      </c>
      <c r="D25">
        <v>116.52</v>
      </c>
      <c r="E25">
        <v>3</v>
      </c>
      <c r="F25" s="1">
        <v>349.56</v>
      </c>
    </row>
    <row r="26" spans="1:6" x14ac:dyDescent="0.25">
      <c r="A26" t="s">
        <v>9</v>
      </c>
      <c r="B26" t="s">
        <v>9</v>
      </c>
      <c r="C26" t="s">
        <v>18</v>
      </c>
      <c r="D26">
        <v>59.9</v>
      </c>
      <c r="E26">
        <v>2</v>
      </c>
      <c r="F26" s="1">
        <v>119.8</v>
      </c>
    </row>
    <row r="27" spans="1:6" x14ac:dyDescent="0.25">
      <c r="A27" t="s">
        <v>6</v>
      </c>
      <c r="B27" t="s">
        <v>6</v>
      </c>
      <c r="C27" t="s">
        <v>27</v>
      </c>
      <c r="D27">
        <v>46.9</v>
      </c>
      <c r="E27">
        <v>2</v>
      </c>
      <c r="F27" s="1">
        <v>93.8</v>
      </c>
    </row>
    <row r="28" spans="1:6" x14ac:dyDescent="0.25">
      <c r="A28" t="s">
        <v>7</v>
      </c>
      <c r="B28" t="s">
        <v>7</v>
      </c>
      <c r="C28" t="s">
        <v>28</v>
      </c>
      <c r="D28">
        <v>41.9</v>
      </c>
      <c r="E28">
        <v>2</v>
      </c>
      <c r="F28" s="1">
        <v>83.8</v>
      </c>
    </row>
    <row r="29" spans="1:6" x14ac:dyDescent="0.25">
      <c r="A29" t="s">
        <v>9</v>
      </c>
      <c r="B29" t="s">
        <v>9</v>
      </c>
      <c r="C29" t="s">
        <v>19</v>
      </c>
      <c r="D29">
        <v>81.900000000000006</v>
      </c>
      <c r="E29">
        <v>4</v>
      </c>
      <c r="F29" s="1">
        <v>327.60000000000002</v>
      </c>
    </row>
    <row r="30" spans="1:6" x14ac:dyDescent="0.25">
      <c r="A30" t="s">
        <v>22</v>
      </c>
      <c r="B30" t="s">
        <v>22</v>
      </c>
      <c r="C30" t="s">
        <v>17</v>
      </c>
      <c r="D30">
        <v>116.52</v>
      </c>
      <c r="E30">
        <v>3</v>
      </c>
      <c r="F30" s="1">
        <v>349.56</v>
      </c>
    </row>
    <row r="31" spans="1:6" x14ac:dyDescent="0.25">
      <c r="A31" t="s">
        <v>22</v>
      </c>
      <c r="B31" t="s">
        <v>22</v>
      </c>
      <c r="C31" t="s">
        <v>18</v>
      </c>
      <c r="D31">
        <v>59.9</v>
      </c>
      <c r="E31">
        <v>2</v>
      </c>
      <c r="F31" s="1">
        <v>119.8</v>
      </c>
    </row>
    <row r="32" spans="1:6" x14ac:dyDescent="0.25">
      <c r="A32" t="s">
        <v>23</v>
      </c>
      <c r="B32" t="s">
        <v>23</v>
      </c>
      <c r="C32" t="s">
        <v>29</v>
      </c>
      <c r="D32">
        <v>40</v>
      </c>
      <c r="E32">
        <v>3</v>
      </c>
      <c r="F32" s="1">
        <v>120</v>
      </c>
    </row>
    <row r="33" spans="1:6" x14ac:dyDescent="0.25">
      <c r="A33" t="s">
        <v>23</v>
      </c>
      <c r="B33" t="s">
        <v>23</v>
      </c>
      <c r="C33" t="s">
        <v>30</v>
      </c>
      <c r="D33">
        <v>390</v>
      </c>
      <c r="E33">
        <v>2</v>
      </c>
      <c r="F33" s="1">
        <v>780</v>
      </c>
    </row>
    <row r="34" spans="1:6" x14ac:dyDescent="0.25">
      <c r="A34" t="s">
        <v>13</v>
      </c>
      <c r="B34" t="s">
        <v>13</v>
      </c>
      <c r="C34" t="s">
        <v>10</v>
      </c>
      <c r="D34">
        <v>148.56</v>
      </c>
      <c r="E34">
        <v>2</v>
      </c>
      <c r="F34" s="1">
        <v>297.12</v>
      </c>
    </row>
    <row r="35" spans="1:6" x14ac:dyDescent="0.25">
      <c r="A35" t="s">
        <v>13</v>
      </c>
      <c r="B35" t="s">
        <v>13</v>
      </c>
      <c r="C35" t="s">
        <v>8</v>
      </c>
      <c r="D35">
        <v>153.4</v>
      </c>
      <c r="E35">
        <v>1</v>
      </c>
      <c r="F35" s="1">
        <v>153.4</v>
      </c>
    </row>
    <row r="36" spans="1:6" x14ac:dyDescent="0.25">
      <c r="A36" t="s">
        <v>13</v>
      </c>
      <c r="B36" t="s">
        <v>13</v>
      </c>
      <c r="C36" t="s">
        <v>24</v>
      </c>
      <c r="D36">
        <v>40</v>
      </c>
      <c r="E36">
        <v>3</v>
      </c>
      <c r="F36" s="1">
        <v>120</v>
      </c>
    </row>
    <row r="37" spans="1:6" x14ac:dyDescent="0.25">
      <c r="A37" t="s">
        <v>11</v>
      </c>
      <c r="B37" t="s">
        <v>11</v>
      </c>
      <c r="C37" t="s">
        <v>19</v>
      </c>
      <c r="D37">
        <v>81.900000000000006</v>
      </c>
      <c r="E37">
        <v>8</v>
      </c>
      <c r="F37" s="1">
        <v>655.20000000000005</v>
      </c>
    </row>
    <row r="38" spans="1:6" x14ac:dyDescent="0.25">
      <c r="A38" t="s">
        <v>11</v>
      </c>
      <c r="B38" t="s">
        <v>11</v>
      </c>
      <c r="C38" t="s">
        <v>8</v>
      </c>
      <c r="D38">
        <v>153.4</v>
      </c>
      <c r="E38">
        <v>1</v>
      </c>
      <c r="F38" s="1">
        <v>153.4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4783-62DB-4498-A16A-461FBCC364DE}">
  <dimension ref="A1"/>
  <sheetViews>
    <sheetView workbookViewId="0">
      <selection activeCell="Q7" sqref="Q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Dash Vendedores</vt:lpstr>
      <vt:lpstr>Dash Funcionarios</vt:lpstr>
      <vt:lpstr>Tabela Dinamica Dados Vendedor</vt:lpstr>
      <vt:lpstr>Gráfico Masculino e Feminino </vt:lpstr>
      <vt:lpstr>Waffle</vt:lpstr>
      <vt:lpstr>Gráfico Velocímetro</vt:lpstr>
      <vt:lpstr>Dados Vendedor</vt:lpstr>
      <vt:lpstr>PivotTable</vt:lpstr>
      <vt:lpstr>Vendas</vt:lpstr>
      <vt:lpstr>Imagens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Gabriela Oliveira</cp:lastModifiedBy>
  <dcterms:created xsi:type="dcterms:W3CDTF">2021-08-25T00:58:32Z</dcterms:created>
  <dcterms:modified xsi:type="dcterms:W3CDTF">2026-01-26T10:50:03Z</dcterms:modified>
</cp:coreProperties>
</file>